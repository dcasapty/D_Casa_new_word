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/>
  <mc:AlternateContent xmlns:mc="http://schemas.openxmlformats.org/markup-compatibility/2006">
    <mc:Choice Requires="x15">
      <x15ac:absPath xmlns:x15ac="http://schemas.microsoft.com/office/spreadsheetml/2010/11/ac" url="C:\Users\MIPC\Desktop\"/>
    </mc:Choice>
  </mc:AlternateContent>
  <xr:revisionPtr revIDLastSave="0" documentId="13_ncr:2001_{00EC4D2F-6B39-45F1-9A7C-662CECF4E67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Catálogo LTSC-07" sheetId="1" r:id="rId1"/>
  </sheets>
  <definedNames>
    <definedName name="_xlnm._FilterDatabase" localSheetId="0" hidden="1">'Catálogo LTSC-07'!$A$4:$N$47</definedName>
    <definedName name="_xlnm.Print_Titles" localSheetId="0">'Catálogo LTSC-07'!$4:$4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2" i="1" l="1"/>
  <c r="L42" i="1"/>
  <c r="M40" i="1"/>
  <c r="L40" i="1"/>
  <c r="M39" i="1"/>
  <c r="L39" i="1"/>
  <c r="M34" i="1"/>
  <c r="L34" i="1"/>
  <c r="M31" i="1"/>
  <c r="L31" i="1"/>
  <c r="M29" i="1"/>
  <c r="L29" i="1"/>
  <c r="M26" i="1"/>
  <c r="L26" i="1"/>
  <c r="M25" i="1"/>
  <c r="L25" i="1"/>
  <c r="K25" i="1"/>
  <c r="M24" i="1"/>
  <c r="L24" i="1"/>
  <c r="M23" i="1"/>
  <c r="L23" i="1"/>
  <c r="M22" i="1"/>
  <c r="L22" i="1"/>
  <c r="M21" i="1"/>
  <c r="L21" i="1"/>
  <c r="M20" i="1"/>
  <c r="L20" i="1"/>
  <c r="K20" i="1"/>
  <c r="M19" i="1"/>
  <c r="L19" i="1"/>
  <c r="M18" i="1"/>
  <c r="L18" i="1"/>
  <c r="M17" i="1"/>
  <c r="L17" i="1"/>
  <c r="K17" i="1"/>
  <c r="M16" i="1"/>
  <c r="L16" i="1"/>
  <c r="M15" i="1"/>
  <c r="L15" i="1"/>
  <c r="M14" i="1"/>
  <c r="L14" i="1"/>
  <c r="M13" i="1"/>
  <c r="L13" i="1"/>
  <c r="M12" i="1"/>
  <c r="L12" i="1"/>
  <c r="K12" i="1"/>
  <c r="M11" i="1"/>
  <c r="L11" i="1"/>
  <c r="M10" i="1"/>
  <c r="L10" i="1"/>
  <c r="M9" i="1"/>
  <c r="L9" i="1"/>
  <c r="K9" i="1"/>
  <c r="M8" i="1"/>
  <c r="L8" i="1"/>
  <c r="M7" i="1"/>
  <c r="L7" i="1"/>
  <c r="M6" i="1"/>
  <c r="L6" i="1"/>
  <c r="M5" i="1"/>
  <c r="L5" i="1"/>
  <c r="I42" i="1"/>
  <c r="H42" i="1"/>
  <c r="G42" i="1"/>
  <c r="K42" i="1" s="1"/>
  <c r="I40" i="1"/>
  <c r="H40" i="1"/>
  <c r="G40" i="1"/>
  <c r="K40" i="1" s="1"/>
  <c r="I39" i="1"/>
  <c r="H39" i="1"/>
  <c r="G39" i="1"/>
  <c r="K39" i="1" s="1"/>
  <c r="I34" i="1"/>
  <c r="H34" i="1"/>
  <c r="G34" i="1"/>
  <c r="K34" i="1" s="1"/>
  <c r="I31" i="1"/>
  <c r="H31" i="1"/>
  <c r="G31" i="1"/>
  <c r="K31" i="1" s="1"/>
  <c r="I29" i="1"/>
  <c r="H29" i="1"/>
  <c r="G29" i="1"/>
  <c r="K29" i="1" s="1"/>
  <c r="I26" i="1"/>
  <c r="H26" i="1"/>
  <c r="G26" i="1"/>
  <c r="K26" i="1" s="1"/>
  <c r="I25" i="1"/>
  <c r="H25" i="1"/>
  <c r="G25" i="1"/>
  <c r="I24" i="1"/>
  <c r="H24" i="1"/>
  <c r="G24" i="1"/>
  <c r="K24" i="1" s="1"/>
  <c r="I23" i="1"/>
  <c r="H23" i="1"/>
  <c r="G23" i="1"/>
  <c r="K23" i="1" s="1"/>
  <c r="I22" i="1"/>
  <c r="H22" i="1"/>
  <c r="G22" i="1"/>
  <c r="K22" i="1" s="1"/>
  <c r="I21" i="1"/>
  <c r="H21" i="1"/>
  <c r="G21" i="1"/>
  <c r="K21" i="1" s="1"/>
  <c r="I20" i="1"/>
  <c r="H20" i="1"/>
  <c r="G20" i="1"/>
  <c r="I19" i="1"/>
  <c r="H19" i="1"/>
  <c r="G19" i="1"/>
  <c r="K19" i="1" s="1"/>
  <c r="I18" i="1"/>
  <c r="H18" i="1"/>
  <c r="G18" i="1"/>
  <c r="K18" i="1" s="1"/>
  <c r="I17" i="1"/>
  <c r="H17" i="1"/>
  <c r="G17" i="1"/>
  <c r="I16" i="1"/>
  <c r="H16" i="1"/>
  <c r="G16" i="1"/>
  <c r="K16" i="1" s="1"/>
  <c r="I15" i="1"/>
  <c r="H15" i="1"/>
  <c r="G15" i="1"/>
  <c r="K15" i="1" s="1"/>
  <c r="I14" i="1"/>
  <c r="H14" i="1"/>
  <c r="G14" i="1"/>
  <c r="K14" i="1" s="1"/>
  <c r="I13" i="1"/>
  <c r="H13" i="1"/>
  <c r="G13" i="1"/>
  <c r="K13" i="1" s="1"/>
  <c r="I12" i="1"/>
  <c r="H12" i="1"/>
  <c r="G12" i="1"/>
  <c r="I11" i="1"/>
  <c r="H11" i="1"/>
  <c r="G11" i="1"/>
  <c r="K11" i="1" s="1"/>
  <c r="I10" i="1"/>
  <c r="H10" i="1"/>
  <c r="G10" i="1"/>
  <c r="K10" i="1" s="1"/>
  <c r="I9" i="1"/>
  <c r="H9" i="1"/>
  <c r="G9" i="1"/>
  <c r="I8" i="1"/>
  <c r="H8" i="1"/>
  <c r="G8" i="1"/>
  <c r="K8" i="1" s="1"/>
  <c r="I7" i="1"/>
  <c r="H7" i="1"/>
  <c r="G7" i="1"/>
  <c r="K7" i="1" s="1"/>
  <c r="I6" i="1"/>
  <c r="H6" i="1"/>
  <c r="G6" i="1"/>
  <c r="K6" i="1" s="1"/>
  <c r="I5" i="1"/>
  <c r="H5" i="1"/>
  <c r="G5" i="1"/>
  <c r="K5" i="1" s="1"/>
  <c r="F13" i="1"/>
  <c r="E43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5" i="1"/>
  <c r="J3" i="1"/>
  <c r="F6" i="1"/>
  <c r="F7" i="1"/>
  <c r="F8" i="1"/>
  <c r="F9" i="1"/>
  <c r="F10" i="1"/>
  <c r="F11" i="1"/>
  <c r="F12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I27" i="1" s="1"/>
  <c r="M27" i="1" s="1"/>
  <c r="F28" i="1"/>
  <c r="I28" i="1" s="1"/>
  <c r="M28" i="1" s="1"/>
  <c r="F29" i="1"/>
  <c r="F30" i="1"/>
  <c r="H30" i="1" s="1"/>
  <c r="L30" i="1" s="1"/>
  <c r="F31" i="1"/>
  <c r="F32" i="1"/>
  <c r="G32" i="1" s="1"/>
  <c r="K32" i="1" s="1"/>
  <c r="F33" i="1"/>
  <c r="H33" i="1" s="1"/>
  <c r="L33" i="1" s="1"/>
  <c r="F34" i="1"/>
  <c r="F35" i="1"/>
  <c r="G35" i="1" s="1"/>
  <c r="K35" i="1" s="1"/>
  <c r="F36" i="1"/>
  <c r="G36" i="1" s="1"/>
  <c r="K36" i="1" s="1"/>
  <c r="F37" i="1"/>
  <c r="I37" i="1" s="1"/>
  <c r="M37" i="1" s="1"/>
  <c r="F38" i="1"/>
  <c r="G38" i="1" s="1"/>
  <c r="K38" i="1" s="1"/>
  <c r="F39" i="1"/>
  <c r="F40" i="1"/>
  <c r="F41" i="1"/>
  <c r="I41" i="1" s="1"/>
  <c r="M41" i="1" s="1"/>
  <c r="F42" i="1"/>
  <c r="F5" i="1"/>
  <c r="G41" i="1" l="1"/>
  <c r="K41" i="1" s="1"/>
  <c r="H41" i="1"/>
  <c r="L41" i="1" s="1"/>
  <c r="H38" i="1"/>
  <c r="L38" i="1" s="1"/>
  <c r="I38" i="1"/>
  <c r="M38" i="1" s="1"/>
  <c r="G37" i="1"/>
  <c r="K37" i="1" s="1"/>
  <c r="H37" i="1"/>
  <c r="L37" i="1" s="1"/>
  <c r="H36" i="1"/>
  <c r="L36" i="1" s="1"/>
  <c r="I36" i="1"/>
  <c r="M36" i="1" s="1"/>
  <c r="H35" i="1"/>
  <c r="L35" i="1" s="1"/>
  <c r="I35" i="1"/>
  <c r="M35" i="1" s="1"/>
  <c r="I33" i="1"/>
  <c r="M33" i="1" s="1"/>
  <c r="G33" i="1"/>
  <c r="K33" i="1" s="1"/>
  <c r="I30" i="1"/>
  <c r="M30" i="1" s="1"/>
  <c r="G30" i="1"/>
  <c r="K30" i="1" s="1"/>
  <c r="H32" i="1"/>
  <c r="L32" i="1" s="1"/>
  <c r="I32" i="1"/>
  <c r="M32" i="1" s="1"/>
  <c r="H28" i="1"/>
  <c r="L28" i="1" s="1"/>
  <c r="G28" i="1"/>
  <c r="K28" i="1" s="1"/>
  <c r="G27" i="1"/>
  <c r="K27" i="1" s="1"/>
  <c r="H27" i="1"/>
  <c r="D3" i="1"/>
  <c r="J43" i="1"/>
  <c r="K43" i="1" l="1"/>
  <c r="G43" i="1"/>
  <c r="H43" i="1"/>
  <c r="L27" i="1"/>
  <c r="L43" i="1" s="1"/>
  <c r="M43" i="1"/>
  <c r="I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tc={15A98AC8-2C9B-4EAB-AD9B-BB8D97A70CF0}</author>
  </authors>
  <commentList>
    <comment ref="P4" authorId="0" shapeId="0" xr:uid="{15A98AC8-2C9B-4EAB-AD9B-BB8D97A70CF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Source: WhatsApp Image 2026-09-29 at 9.40.39 AM (1).jpeg, uploaded 2026-09-29</t>
      </text>
    </comment>
  </commentList>
</comments>
</file>

<file path=xl/sharedStrings.xml><?xml version="1.0" encoding="utf-8"?>
<sst xmlns="http://schemas.openxmlformats.org/spreadsheetml/2006/main" count="150" uniqueCount="109">
  <si>
    <t>Catálogo de productos – Pedido LTSC-07</t>
  </si>
  <si>
    <t>Proveedor: Langfang Liu Tai Furniture Co., Ltd. · Fecha PI: 09/08/2026</t>
  </si>
  <si>
    <t>Imagen</t>
  </si>
  <si>
    <t>Código</t>
  </si>
  <si>
    <t>Descripción</t>
  </si>
  <si>
    <t>Medidas (L × A × Alto)</t>
  </si>
  <si>
    <t>888K</t>
  </si>
  <si>
    <t>Cama tapizada King – beige</t>
  </si>
  <si>
    <t>228 × 223 × 120 cm</t>
  </si>
  <si>
    <t>888Q</t>
  </si>
  <si>
    <t>Cama tapizada Queen</t>
  </si>
  <si>
    <t>228 × 182 × 120 cm</t>
  </si>
  <si>
    <t>908K</t>
  </si>
  <si>
    <t>203 × 193 × 123 cm</t>
  </si>
  <si>
    <t>Cama tapizada King – negro</t>
  </si>
  <si>
    <t>Cama tapizada King – gris</t>
  </si>
  <si>
    <t>908Q</t>
  </si>
  <si>
    <t>Cama tapizada Queen – beige</t>
  </si>
  <si>
    <t>203 × 152 × 123 cm</t>
  </si>
  <si>
    <t>Cama tapizada Queen – negro</t>
  </si>
  <si>
    <t>803K</t>
  </si>
  <si>
    <t>213 × 163 × 125 cm</t>
  </si>
  <si>
    <t>809Q</t>
  </si>
  <si>
    <t>213 × 158 × 120 cm</t>
  </si>
  <si>
    <t>811Q</t>
  </si>
  <si>
    <t>811K</t>
  </si>
  <si>
    <t>213 × 199 × 125 cm</t>
  </si>
  <si>
    <t>822F</t>
  </si>
  <si>
    <t>Cama tapizada Full – blanco</t>
  </si>
  <si>
    <t>193 × 135 × 110 cm</t>
  </si>
  <si>
    <t>823Q</t>
  </si>
  <si>
    <t>Cama tapizada Queen – marrón</t>
  </si>
  <si>
    <t>215 × 152 × 120 cm</t>
  </si>
  <si>
    <t>823F</t>
  </si>
  <si>
    <t>Cama tapizada Full – gris</t>
  </si>
  <si>
    <t>193 × 135 × 120 cm</t>
  </si>
  <si>
    <t>825K</t>
  </si>
  <si>
    <t>Cama tapizada King – rosado</t>
  </si>
  <si>
    <t>205 × 193 × 110 cm</t>
  </si>
  <si>
    <t>825Q</t>
  </si>
  <si>
    <t>Cama tapizada Queen – crema</t>
  </si>
  <si>
    <t>205 × 151 × 110 cm</t>
  </si>
  <si>
    <t>903F</t>
  </si>
  <si>
    <t>6877F</t>
  </si>
  <si>
    <t>Cama tapizada Full – beige</t>
  </si>
  <si>
    <t>6220Q</t>
  </si>
  <si>
    <t>Cama tapizada Queen – rosado</t>
  </si>
  <si>
    <t>Y0200100</t>
  </si>
  <si>
    <t>Cama tapizada Queen – cuero marrón</t>
  </si>
  <si>
    <t>Queen</t>
  </si>
  <si>
    <t>Y0200200-Q</t>
  </si>
  <si>
    <t>Cama tapizada Queen – cuero negro</t>
  </si>
  <si>
    <t>Y0200300</t>
  </si>
  <si>
    <t>Cama tapizada Queen – cuero gris</t>
  </si>
  <si>
    <t>Y0200101</t>
  </si>
  <si>
    <t>Cama tapizada Full – cuero marrón</t>
  </si>
  <si>
    <t>Full</t>
  </si>
  <si>
    <t>Y0200201</t>
  </si>
  <si>
    <t>Cama tapizada Full – cuero negro</t>
  </si>
  <si>
    <t>Y0200301</t>
  </si>
  <si>
    <t>Cama tapizada Full – cuero gris</t>
  </si>
  <si>
    <t>Y0300200</t>
  </si>
  <si>
    <t>Cama tapizada Queen – lino gris claro</t>
  </si>
  <si>
    <t>Y0300300</t>
  </si>
  <si>
    <t>Cama tapizada Queen – lino negro</t>
  </si>
  <si>
    <t>Y0300400</t>
  </si>
  <si>
    <t>Cama tapizada Queen – tela marrón</t>
  </si>
  <si>
    <t>Y0400100-Q</t>
  </si>
  <si>
    <t>Cama tapizada Queen – lino gris oscuro</t>
  </si>
  <si>
    <t>Y0400200-Q</t>
  </si>
  <si>
    <t>Y0400300-Q</t>
  </si>
  <si>
    <t>Cama tapizada Queen – tela negra</t>
  </si>
  <si>
    <t>Y0400400-Q</t>
  </si>
  <si>
    <t>Y0400301</t>
  </si>
  <si>
    <t>Cama tapizada Full – tela negra</t>
  </si>
  <si>
    <t>Y0400101-F</t>
  </si>
  <si>
    <t>Cama tapizada Full – lino gris oscuro</t>
  </si>
  <si>
    <t>Y0400201-F</t>
  </si>
  <si>
    <t>Cama tapizada Full – lino gris claro</t>
  </si>
  <si>
    <t>N-F10018-Q-BK</t>
  </si>
  <si>
    <t>Base de cama metálica Queen – negro</t>
  </si>
  <si>
    <t>HK-BF-022-N-F-1-W</t>
  </si>
  <si>
    <t>HK-BF-022-N-K-1-W</t>
  </si>
  <si>
    <t>Cama tapizada King – blanco</t>
  </si>
  <si>
    <t>Notas:</t>
  </si>
  <si>
    <t>Precios de venta según el PVP asignado del pedido LTSC-07.</t>
  </si>
  <si>
    <t>Medidas convertidas de mm a cm según el packing list; los modelos Y02/Y03/Y04/HK solo indican tamaño (Queen/Full/King), no medidas.</t>
  </si>
  <si>
    <t>Los modelos con varios colores comparten la misma foto, igual que en el archivo original.</t>
  </si>
  <si>
    <t>Precios de colchones para combos</t>
  </si>
  <si>
    <t>Tamaño</t>
  </si>
  <si>
    <t>Precio colchón</t>
  </si>
  <si>
    <t>Marca</t>
  </si>
  <si>
    <t>TWIN</t>
  </si>
  <si>
    <t>Imperial</t>
  </si>
  <si>
    <t>FULL</t>
  </si>
  <si>
    <t>QUEEN</t>
  </si>
  <si>
    <t>Dulce Sueños</t>
  </si>
  <si>
    <t>KING</t>
  </si>
  <si>
    <t>First Class</t>
  </si>
  <si>
    <t>Precio combo (cama + colchón)</t>
  </si>
  <si>
    <t>TOTAL</t>
  </si>
  <si>
    <t>Precio cama sola</t>
  </si>
  <si>
    <t>ITBMS</t>
  </si>
  <si>
    <t>Cama sola</t>
  </si>
  <si>
    <t>Combo Dulce Sueños</t>
  </si>
  <si>
    <t>Combo First Class</t>
  </si>
  <si>
    <t>🔍 Buscar (nombre o código):</t>
  </si>
  <si>
    <t>Coincide</t>
  </si>
  <si>
    <t>Combo Imperial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</si>
</sst>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.00"/>
    <numFmt numFmtId="165" formatCode="&quot;$&quot;#,##0.00"/>
  </numFmts>
  <fonts count="31" x14ac:knownFonts="1">
    <font>
      <sz val="11"/>
      <color theme="1"/>
      <name val="Calibri"/>
      <family val="2"/>
      <scheme val="minor"/>
    </font>
    <font>
      <i/>
      <sz val="10"/>
      <color rgb="FF595959"/>
      <name val="Arial"/>
    </font>
    <font>
      <b/>
      <sz val="11"/>
      <color rgb="FFFFFFFF"/>
      <name val="Arial"/>
    </font>
    <font>
      <b/>
      <sz val="9"/>
      <color rgb="FF595959"/>
      <name val="Arial"/>
    </font>
    <font>
      <b/>
      <sz val="11"/>
      <color rgb="FF1F3864"/>
      <name val="Arial"/>
    </font>
    <font>
      <b/>
      <sz val="11"/>
      <color rgb="FF0000FF"/>
      <name val="Arial"/>
    </font>
    <font>
      <sz val="10"/>
      <color rgb="FF262626"/>
      <name val="Arial"/>
    </font>
    <font>
      <b/>
      <sz val="10"/>
      <color rgb="FF1F3864"/>
      <name val="Arial"/>
    </font>
    <font>
      <b/>
      <sz val="10"/>
      <color rgb="FF375623"/>
      <name val="Arial"/>
    </font>
    <font>
      <b/>
      <sz val="10"/>
      <color rgb="FFFFFFFF"/>
      <name val="Arial"/>
    </font>
    <font>
      <b/>
      <sz val="9"/>
      <color rgb="FF7F7F7F"/>
      <name val="Arial"/>
    </font>
    <font>
      <sz val="9"/>
      <color rgb="FF7F7F7F"/>
      <name val="Arial"/>
    </font>
    <font>
      <b/>
      <sz val="10"/>
      <color rgb="FF0000FF"/>
      <name val="Arial"/>
    </font>
    <font>
      <b/>
      <sz val="22"/>
      <color rgb="FFFFFFFF"/>
      <name val="Arial"/>
    </font>
    <font>
      <i/>
      <sz val="10"/>
      <color rgb="FF1F3864"/>
      <name val="Arial"/>
    </font>
    <font>
      <b/>
      <sz val="12"/>
      <color rgb="FF0000FF"/>
      <name val="Arial"/>
    </font>
    <font>
      <b/>
      <sz val="12"/>
      <color rgb="FF548235"/>
      <name val="Arial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i/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0"/>
      <color rgb="FF1F3864"/>
      <name val="Arial"/>
      <family val="2"/>
    </font>
    <font>
      <b/>
      <sz val="16"/>
      <color rgb="FF1F4E79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26262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3F6FA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rgb="FF8EA9DB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rgb="FF8EA9DB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double">
        <color rgb="FF1F3864"/>
      </top>
      <bottom style="thin">
        <color rgb="FFD9D9D9"/>
      </bottom>
      <diagonal/>
    </border>
    <border>
      <left style="thin">
        <color rgb="FFD9D9D9"/>
      </left>
      <right/>
      <top style="double">
        <color rgb="FF1F3864"/>
      </top>
      <bottom style="thin">
        <color rgb="FFD9D9D9"/>
      </bottom>
      <diagonal/>
    </border>
    <border>
      <left style="thin">
        <color rgb="FFD9D9D9"/>
      </left>
      <right style="medium">
        <color rgb="FF8EA9DB"/>
      </right>
      <top style="double">
        <color rgb="FF1F3864"/>
      </top>
      <bottom style="thin">
        <color rgb="FFD9D9D9"/>
      </bottom>
      <diagonal/>
    </border>
    <border>
      <left/>
      <right style="thin">
        <color rgb="FFD9D9D9"/>
      </right>
      <top style="double">
        <color rgb="FF1F38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medium">
        <color rgb="FF1F3864"/>
      </top>
      <bottom style="thin">
        <color rgb="FFD9D9D9"/>
      </bottom>
      <diagonal/>
    </border>
    <border>
      <left style="medium">
        <color rgb="FFBF8F00"/>
      </left>
      <right/>
      <top style="medium">
        <color rgb="FFBF8F00"/>
      </top>
      <bottom style="medium">
        <color rgb="FFBF8F00"/>
      </bottom>
      <diagonal/>
    </border>
    <border>
      <left/>
      <right style="medium">
        <color rgb="FFBF8F00"/>
      </right>
      <top style="medium">
        <color rgb="FFBF8F00"/>
      </top>
      <bottom style="medium">
        <color rgb="FFBF8F00"/>
      </bottom>
      <diagonal/>
    </border>
    <border>
      <left style="medium">
        <color rgb="FFBF8F00"/>
      </left>
      <right/>
      <top style="medium">
        <color rgb="FF1F3864"/>
      </top>
      <bottom style="thin">
        <color rgb="FFD9D9D9"/>
      </bottom>
      <diagonal/>
    </border>
    <border>
      <left/>
      <right style="thin">
        <color rgb="FFBFBFBF"/>
      </right>
      <top style="medium">
        <color rgb="FF1F3864"/>
      </top>
      <bottom style="thin">
        <color rgb="FFD9D9D9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6" fillId="0" borderId="4" xfId="0" applyFont="1" applyBorder="1" applyAlignment="1">
      <alignment horizontal="center" vertical="center" wrapText="1"/>
    </xf>
    <xf numFmtId="164" fontId="8" fillId="0" borderId="4" xfId="0" applyNumberFormat="1" applyFont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164" fontId="8" fillId="2" borderId="4" xfId="0" applyNumberFormat="1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164" fontId="8" fillId="0" borderId="8" xfId="0" applyNumberFormat="1" applyFont="1" applyBorder="1" applyAlignment="1">
      <alignment horizontal="center" vertical="center" wrapText="1"/>
    </xf>
    <xf numFmtId="164" fontId="8" fillId="2" borderId="8" xfId="0" applyNumberFormat="1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5" borderId="8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164" fontId="8" fillId="2" borderId="5" xfId="0" applyNumberFormat="1" applyFont="1" applyFill="1" applyBorder="1" applyAlignment="1">
      <alignment horizontal="center" vertical="center" wrapText="1"/>
    </xf>
    <xf numFmtId="164" fontId="8" fillId="2" borderId="6" xfId="0" applyNumberFormat="1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165" fontId="2" fillId="3" borderId="14" xfId="0" applyNumberFormat="1" applyFont="1" applyFill="1" applyBorder="1" applyAlignment="1">
      <alignment horizontal="center" vertical="center"/>
    </xf>
    <xf numFmtId="49" fontId="2" fillId="3" borderId="15" xfId="0" applyNumberFormat="1" applyFont="1" applyFill="1" applyBorder="1" applyAlignment="1">
      <alignment horizontal="center" vertical="center"/>
    </xf>
    <xf numFmtId="165" fontId="2" fillId="3" borderId="13" xfId="0" applyNumberFormat="1" applyFont="1" applyFill="1" applyBorder="1" applyAlignment="1">
      <alignment horizontal="center" vertical="center"/>
    </xf>
    <xf numFmtId="165" fontId="2" fillId="3" borderId="15" xfId="0" applyNumberFormat="1" applyFont="1" applyFill="1" applyBorder="1" applyAlignment="1">
      <alignment horizontal="center" vertical="center"/>
    </xf>
    <xf numFmtId="165" fontId="2" fillId="3" borderId="12" xfId="0" applyNumberFormat="1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9" fillId="4" borderId="4" xfId="0" applyFont="1" applyFill="1" applyBorder="1" applyAlignment="1">
      <alignment horizontal="center" vertical="center" wrapText="1"/>
    </xf>
    <xf numFmtId="165" fontId="12" fillId="0" borderId="4" xfId="0" applyNumberFormat="1" applyFont="1" applyBorder="1" applyAlignment="1">
      <alignment horizontal="center" vertical="center"/>
    </xf>
    <xf numFmtId="165" fontId="12" fillId="2" borderId="4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9" fontId="5" fillId="6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left" vertical="center" wrapText="1" indent="1"/>
    </xf>
    <xf numFmtId="0" fontId="6" fillId="8" borderId="9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164" fontId="8" fillId="8" borderId="8" xfId="0" applyNumberFormat="1" applyFont="1" applyFill="1" applyBorder="1" applyAlignment="1">
      <alignment horizontal="center" vertical="center" wrapText="1"/>
    </xf>
    <xf numFmtId="164" fontId="8" fillId="8" borderId="4" xfId="0" applyNumberFormat="1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0" fillId="8" borderId="0" xfId="0" applyFill="1"/>
    <xf numFmtId="0" fontId="7" fillId="8" borderId="4" xfId="0" applyFont="1" applyFill="1" applyBorder="1" applyAlignment="1">
      <alignment horizontal="center" vertical="center"/>
    </xf>
    <xf numFmtId="165" fontId="12" fillId="8" borderId="4" xfId="0" applyNumberFormat="1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5" borderId="0" xfId="0" applyFont="1" applyFill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/>
    </xf>
    <xf numFmtId="49" fontId="15" fillId="6" borderId="18" xfId="0" applyNumberFormat="1" applyFont="1" applyFill="1" applyBorder="1" applyAlignment="1">
      <alignment horizontal="left" vertical="center" indent="1"/>
    </xf>
    <xf numFmtId="49" fontId="15" fillId="6" borderId="19" xfId="0" applyNumberFormat="1" applyFont="1" applyFill="1" applyBorder="1" applyAlignment="1">
      <alignment horizontal="left" vertical="center" indent="1"/>
    </xf>
    <xf numFmtId="0" fontId="1" fillId="0" borderId="20" xfId="0" applyFont="1" applyBorder="1" applyAlignment="1">
      <alignment vertical="center" indent="1"/>
    </xf>
    <xf numFmtId="0" fontId="1" fillId="0" borderId="21" xfId="0" applyFont="1" applyBorder="1" applyAlignment="1">
      <alignment vertical="center" indent="1"/>
    </xf>
    <xf numFmtId="0" fontId="13" fillId="3" borderId="0" xfId="0" applyFont="1" applyFill="1" applyAlignment="1">
      <alignment horizontal="left" vertical="center" indent="1"/>
    </xf>
    <xf numFmtId="0" fontId="14" fillId="7" borderId="0" xfId="0" applyFont="1" applyFill="1" applyAlignment="1">
      <alignment vertical="center" indent="1"/>
    </xf>
    <xf numFmtId="0" fontId="17" fillId="3" borderId="0" xfId="0" applyFont="1" applyFill="1" applyAlignment="1">
      <alignment horizontal="left" vertical="center" indent="1"/>
    </xf>
    <xf numFmtId="0" fontId="18" fillId="7" borderId="0" xfId="0" applyFont="1" applyFill="1" applyAlignment="1">
      <alignment vertical="center" indent="1"/>
    </xf>
    <xf numFmtId="0" fontId="17" fillId="4" borderId="2" xfId="0" applyFont="1" applyFill="1" applyBorder="1" applyAlignment="1">
      <alignment horizontal="center" vertical="center" wrapText="1"/>
    </xf>
    <xf numFmtId="0" fontId="19" fillId="0" borderId="0" xfId="0" applyFont="1"/>
    <xf numFmtId="0" fontId="20" fillId="3" borderId="0" xfId="0" applyFont="1" applyFill="1" applyAlignment="1">
      <alignment horizontal="left" vertical="center" indent="1"/>
    </xf>
    <xf numFmtId="0" fontId="21" fillId="7" borderId="0" xfId="0" applyFont="1" applyFill="1" applyAlignment="1">
      <alignment vertical="center" indent="1"/>
    </xf>
    <xf numFmtId="0" fontId="21" fillId="0" borderId="17" xfId="0" applyFont="1" applyBorder="1" applyAlignment="1">
      <alignment vertical="center" indent="1"/>
    </xf>
    <xf numFmtId="164" fontId="20" fillId="8" borderId="10" xfId="0" applyNumberFormat="1" applyFont="1" applyFill="1" applyBorder="1" applyAlignment="1">
      <alignment horizontal="center" vertical="center" wrapText="1"/>
    </xf>
    <xf numFmtId="164" fontId="20" fillId="9" borderId="10" xfId="0" applyNumberFormat="1" applyFont="1" applyFill="1" applyBorder="1" applyAlignment="1">
      <alignment horizontal="center" vertical="center" wrapText="1"/>
    </xf>
    <xf numFmtId="164" fontId="20" fillId="9" borderId="11" xfId="0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3" fillId="3" borderId="10" xfId="0" applyFont="1" applyFill="1" applyBorder="1" applyAlignment="1">
      <alignment horizontal="center" vertical="center" wrapText="1"/>
    </xf>
    <xf numFmtId="0" fontId="24" fillId="3" borderId="8" xfId="0" applyFont="1" applyFill="1" applyBorder="1" applyAlignment="1">
      <alignment horizontal="center" vertical="center" wrapText="1"/>
    </xf>
    <xf numFmtId="0" fontId="25" fillId="4" borderId="9" xfId="0" applyFont="1" applyFill="1" applyBorder="1" applyAlignment="1">
      <alignment horizontal="center" vertical="center" wrapText="1"/>
    </xf>
    <xf numFmtId="164" fontId="27" fillId="8" borderId="10" xfId="0" applyNumberFormat="1" applyFont="1" applyFill="1" applyBorder="1" applyAlignment="1">
      <alignment horizontal="center" vertical="center" wrapText="1"/>
    </xf>
    <xf numFmtId="164" fontId="27" fillId="0" borderId="10" xfId="0" applyNumberFormat="1" applyFont="1" applyBorder="1" applyAlignment="1">
      <alignment horizontal="center" vertical="center" wrapText="1"/>
    </xf>
    <xf numFmtId="164" fontId="27" fillId="2" borderId="10" xfId="0" applyNumberFormat="1" applyFont="1" applyFill="1" applyBorder="1" applyAlignment="1">
      <alignment horizontal="center" vertical="center" wrapText="1"/>
    </xf>
    <xf numFmtId="164" fontId="27" fillId="2" borderId="11" xfId="0" applyNumberFormat="1" applyFont="1" applyFill="1" applyBorder="1" applyAlignment="1">
      <alignment horizontal="center" vertical="center" wrapText="1"/>
    </xf>
    <xf numFmtId="0" fontId="28" fillId="0" borderId="0" xfId="0" applyFont="1"/>
    <xf numFmtId="164" fontId="29" fillId="8" borderId="9" xfId="0" applyNumberFormat="1" applyFont="1" applyFill="1" applyBorder="1" applyAlignment="1">
      <alignment horizontal="center" vertical="center" wrapText="1"/>
    </xf>
    <xf numFmtId="164" fontId="29" fillId="9" borderId="9" xfId="0" applyNumberFormat="1" applyFont="1" applyFill="1" applyBorder="1" applyAlignment="1">
      <alignment horizontal="center" vertical="center" wrapText="1"/>
    </xf>
    <xf numFmtId="164" fontId="29" fillId="9" borderId="7" xfId="0" applyNumberFormat="1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left" vertical="center" wrapText="1" indent="1"/>
    </xf>
    <xf numFmtId="0" fontId="30" fillId="8" borderId="9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1">
    <dxf>
      <fill>
        <patternFill patternType="solid">
          <fgColor indexed="64"/>
          <bgColor rgb="FFFFF2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402431</xdr:colOff>
      <xdr:row>4</xdr:row>
      <xdr:rowOff>76200</xdr:rowOff>
    </xdr:from>
    <xdr:to>
      <xdr:col>0</xdr:col>
      <xdr:colOff>1188243</xdr:colOff>
      <xdr:row>4</xdr:row>
      <xdr:rowOff>1123950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2431" y="1743075"/>
          <a:ext cx="785812" cy="1047750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5</xdr:row>
      <xdr:rowOff>73819</xdr:rowOff>
    </xdr:from>
    <xdr:to>
      <xdr:col>0</xdr:col>
      <xdr:colOff>1190922</xdr:colOff>
      <xdr:row>5</xdr:row>
      <xdr:rowOff>1128712</xdr:rowOff>
    </xdr:to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9752" y="2943225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6</xdr:row>
      <xdr:rowOff>71437</xdr:rowOff>
    </xdr:from>
    <xdr:to>
      <xdr:col>0</xdr:col>
      <xdr:colOff>1190922</xdr:colOff>
      <xdr:row>6</xdr:row>
      <xdr:rowOff>1126330</xdr:rowOff>
    </xdr:to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9752" y="4143375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7</xdr:row>
      <xdr:rowOff>69056</xdr:rowOff>
    </xdr:from>
    <xdr:to>
      <xdr:col>0</xdr:col>
      <xdr:colOff>1190922</xdr:colOff>
      <xdr:row>7</xdr:row>
      <xdr:rowOff>1123949</xdr:rowOff>
    </xdr:to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9752" y="5336381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8</xdr:row>
      <xdr:rowOff>66675</xdr:rowOff>
    </xdr:from>
    <xdr:to>
      <xdr:col>0</xdr:col>
      <xdr:colOff>1190922</xdr:colOff>
      <xdr:row>8</xdr:row>
      <xdr:rowOff>1121568</xdr:rowOff>
    </xdr:to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9752" y="6534150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9</xdr:row>
      <xdr:rowOff>64294</xdr:rowOff>
    </xdr:from>
    <xdr:to>
      <xdr:col>0</xdr:col>
      <xdr:colOff>1190922</xdr:colOff>
      <xdr:row>9</xdr:row>
      <xdr:rowOff>1119187</xdr:rowOff>
    </xdr:to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9752" y="7731919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10</xdr:row>
      <xdr:rowOff>61912</xdr:rowOff>
    </xdr:from>
    <xdr:to>
      <xdr:col>0</xdr:col>
      <xdr:colOff>1190922</xdr:colOff>
      <xdr:row>10</xdr:row>
      <xdr:rowOff>1116805</xdr:rowOff>
    </xdr:to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9752" y="8929687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11</xdr:row>
      <xdr:rowOff>59531</xdr:rowOff>
    </xdr:from>
    <xdr:to>
      <xdr:col>0</xdr:col>
      <xdr:colOff>1190922</xdr:colOff>
      <xdr:row>11</xdr:row>
      <xdr:rowOff>1114424</xdr:rowOff>
    </xdr:to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99752" y="10127456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92075</xdr:colOff>
      <xdr:row>12</xdr:row>
      <xdr:rowOff>57150</xdr:rowOff>
    </xdr:from>
    <xdr:to>
      <xdr:col>0</xdr:col>
      <xdr:colOff>1498600</xdr:colOff>
      <xdr:row>12</xdr:row>
      <xdr:rowOff>1112043</xdr:rowOff>
    </xdr:to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2075" y="11325225"/>
          <a:ext cx="1406525" cy="1054893"/>
        </a:xfrm>
        <a:prstGeom prst="rect">
          <a:avLst/>
        </a:prstGeom>
      </xdr:spPr>
    </xdr:pic>
    <xdr:clientData/>
  </xdr:twoCellAnchor>
  <xdr:twoCellAnchor>
    <xdr:from>
      <xdr:col>0</xdr:col>
      <xdr:colOff>92075</xdr:colOff>
      <xdr:row>13</xdr:row>
      <xdr:rowOff>54769</xdr:rowOff>
    </xdr:from>
    <xdr:to>
      <xdr:col>0</xdr:col>
      <xdr:colOff>1498600</xdr:colOff>
      <xdr:row>13</xdr:row>
      <xdr:rowOff>1109662</xdr:rowOff>
    </xdr:to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2075" y="12522994"/>
          <a:ext cx="1406525" cy="1054893"/>
        </a:xfrm>
        <a:prstGeom prst="rect">
          <a:avLst/>
        </a:prstGeom>
      </xdr:spPr>
    </xdr:pic>
    <xdr:clientData/>
  </xdr:twoCellAnchor>
  <xdr:twoCellAnchor>
    <xdr:from>
      <xdr:col>0</xdr:col>
      <xdr:colOff>92075</xdr:colOff>
      <xdr:row>14</xdr:row>
      <xdr:rowOff>52387</xdr:rowOff>
    </xdr:from>
    <xdr:to>
      <xdr:col>0</xdr:col>
      <xdr:colOff>1498600</xdr:colOff>
      <xdr:row>14</xdr:row>
      <xdr:rowOff>1107280</xdr:rowOff>
    </xdr:to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2075" y="13411200"/>
          <a:ext cx="1406525" cy="1054893"/>
        </a:xfrm>
        <a:prstGeom prst="rect">
          <a:avLst/>
        </a:prstGeom>
      </xdr:spPr>
    </xdr:pic>
    <xdr:clientData/>
  </xdr:twoCellAnchor>
  <xdr:twoCellAnchor>
    <xdr:from>
      <xdr:col>0</xdr:col>
      <xdr:colOff>92075</xdr:colOff>
      <xdr:row>15</xdr:row>
      <xdr:rowOff>50006</xdr:rowOff>
    </xdr:from>
    <xdr:to>
      <xdr:col>0</xdr:col>
      <xdr:colOff>1498600</xdr:colOff>
      <xdr:row>15</xdr:row>
      <xdr:rowOff>1104899</xdr:rowOff>
    </xdr:to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2075" y="14918531"/>
          <a:ext cx="1406525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16</xdr:row>
      <xdr:rowOff>47625</xdr:rowOff>
    </xdr:from>
    <xdr:to>
      <xdr:col>0</xdr:col>
      <xdr:colOff>1190922</xdr:colOff>
      <xdr:row>16</xdr:row>
      <xdr:rowOff>1102518</xdr:rowOff>
    </xdr:to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99752" y="16116300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17</xdr:row>
      <xdr:rowOff>45244</xdr:rowOff>
    </xdr:from>
    <xdr:to>
      <xdr:col>0</xdr:col>
      <xdr:colOff>1190922</xdr:colOff>
      <xdr:row>17</xdr:row>
      <xdr:rowOff>1100137</xdr:rowOff>
    </xdr:to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99752" y="17314069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18</xdr:row>
      <xdr:rowOff>42862</xdr:rowOff>
    </xdr:from>
    <xdr:to>
      <xdr:col>0</xdr:col>
      <xdr:colOff>1190922</xdr:colOff>
      <xdr:row>18</xdr:row>
      <xdr:rowOff>1097755</xdr:rowOff>
    </xdr:to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99752" y="18511837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19</xdr:row>
      <xdr:rowOff>40481</xdr:rowOff>
    </xdr:from>
    <xdr:to>
      <xdr:col>0</xdr:col>
      <xdr:colOff>1190922</xdr:colOff>
      <xdr:row>19</xdr:row>
      <xdr:rowOff>1095374</xdr:rowOff>
    </xdr:to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99752" y="19709606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267890</xdr:colOff>
      <xdr:row>20</xdr:row>
      <xdr:rowOff>38100</xdr:rowOff>
    </xdr:from>
    <xdr:to>
      <xdr:col>0</xdr:col>
      <xdr:colOff>1322783</xdr:colOff>
      <xdr:row>20</xdr:row>
      <xdr:rowOff>1092993</xdr:rowOff>
    </xdr:to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67890" y="20907375"/>
          <a:ext cx="1054893" cy="1054893"/>
        </a:xfrm>
        <a:prstGeom prst="rect">
          <a:avLst/>
        </a:prstGeom>
      </xdr:spPr>
    </xdr:pic>
    <xdr:clientData/>
  </xdr:twoCellAnchor>
  <xdr:twoCellAnchor>
    <xdr:from>
      <xdr:col>0</xdr:col>
      <xdr:colOff>556032</xdr:colOff>
      <xdr:row>21</xdr:row>
      <xdr:rowOff>35719</xdr:rowOff>
    </xdr:from>
    <xdr:to>
      <xdr:col>0</xdr:col>
      <xdr:colOff>1034641</xdr:colOff>
      <xdr:row>21</xdr:row>
      <xdr:rowOff>1090612</xdr:rowOff>
    </xdr:to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556032" y="22105144"/>
          <a:ext cx="478609" cy="1054893"/>
        </a:xfrm>
        <a:prstGeom prst="rect">
          <a:avLst/>
        </a:prstGeom>
      </xdr:spPr>
    </xdr:pic>
    <xdr:clientData/>
  </xdr:twoCellAnchor>
  <xdr:twoCellAnchor>
    <xdr:from>
      <xdr:col>0</xdr:col>
      <xdr:colOff>497427</xdr:colOff>
      <xdr:row>22</xdr:row>
      <xdr:rowOff>33337</xdr:rowOff>
    </xdr:from>
    <xdr:to>
      <xdr:col>0</xdr:col>
      <xdr:colOff>1093246</xdr:colOff>
      <xdr:row>22</xdr:row>
      <xdr:rowOff>1088230</xdr:rowOff>
    </xdr:to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497427" y="23302912"/>
          <a:ext cx="595819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23</xdr:row>
      <xdr:rowOff>30956</xdr:rowOff>
    </xdr:from>
    <xdr:to>
      <xdr:col>0</xdr:col>
      <xdr:colOff>1190922</xdr:colOff>
      <xdr:row>23</xdr:row>
      <xdr:rowOff>1085849</xdr:rowOff>
    </xdr:to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99752" y="24500681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24</xdr:row>
      <xdr:rowOff>28575</xdr:rowOff>
    </xdr:from>
    <xdr:to>
      <xdr:col>0</xdr:col>
      <xdr:colOff>1190922</xdr:colOff>
      <xdr:row>24</xdr:row>
      <xdr:rowOff>1083468</xdr:rowOff>
    </xdr:to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99752" y="25412700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25</xdr:row>
      <xdr:rowOff>26194</xdr:rowOff>
    </xdr:from>
    <xdr:to>
      <xdr:col>0</xdr:col>
      <xdr:colOff>1190922</xdr:colOff>
      <xdr:row>25</xdr:row>
      <xdr:rowOff>1081087</xdr:rowOff>
    </xdr:to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99752" y="26612850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26</xdr:row>
      <xdr:rowOff>23812</xdr:rowOff>
    </xdr:from>
    <xdr:to>
      <xdr:col>0</xdr:col>
      <xdr:colOff>1190922</xdr:colOff>
      <xdr:row>26</xdr:row>
      <xdr:rowOff>1078705</xdr:rowOff>
    </xdr:to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99752" y="28093987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27</xdr:row>
      <xdr:rowOff>21431</xdr:rowOff>
    </xdr:from>
    <xdr:to>
      <xdr:col>0</xdr:col>
      <xdr:colOff>1190922</xdr:colOff>
      <xdr:row>27</xdr:row>
      <xdr:rowOff>1076324</xdr:rowOff>
    </xdr:to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99752" y="29013150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28</xdr:row>
      <xdr:rowOff>19050</xdr:rowOff>
    </xdr:from>
    <xdr:to>
      <xdr:col>0</xdr:col>
      <xdr:colOff>1190922</xdr:colOff>
      <xdr:row>28</xdr:row>
      <xdr:rowOff>1073943</xdr:rowOff>
    </xdr:to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99752" y="30213300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399752</xdr:colOff>
      <xdr:row>29</xdr:row>
      <xdr:rowOff>16669</xdr:rowOff>
    </xdr:from>
    <xdr:to>
      <xdr:col>0</xdr:col>
      <xdr:colOff>1190922</xdr:colOff>
      <xdr:row>29</xdr:row>
      <xdr:rowOff>1071562</xdr:rowOff>
    </xdr:to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99752" y="31687294"/>
          <a:ext cx="791170" cy="1054893"/>
        </a:xfrm>
        <a:prstGeom prst="rect">
          <a:avLst/>
        </a:prstGeom>
      </xdr:spPr>
    </xdr:pic>
    <xdr:clientData/>
  </xdr:twoCellAnchor>
  <xdr:twoCellAnchor>
    <xdr:from>
      <xdr:col>0</xdr:col>
      <xdr:colOff>556032</xdr:colOff>
      <xdr:row>30</xdr:row>
      <xdr:rowOff>14287</xdr:rowOff>
    </xdr:from>
    <xdr:to>
      <xdr:col>0</xdr:col>
      <xdr:colOff>1034641</xdr:colOff>
      <xdr:row>30</xdr:row>
      <xdr:rowOff>1069180</xdr:rowOff>
    </xdr:to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56032" y="32885062"/>
          <a:ext cx="478609" cy="1054893"/>
        </a:xfrm>
        <a:prstGeom prst="rect">
          <a:avLst/>
        </a:prstGeom>
      </xdr:spPr>
    </xdr:pic>
    <xdr:clientData/>
  </xdr:twoCellAnchor>
  <xdr:twoCellAnchor>
    <xdr:from>
      <xdr:col>0</xdr:col>
      <xdr:colOff>92075</xdr:colOff>
      <xdr:row>31</xdr:row>
      <xdr:rowOff>11906</xdr:rowOff>
    </xdr:from>
    <xdr:to>
      <xdr:col>0</xdr:col>
      <xdr:colOff>1498600</xdr:colOff>
      <xdr:row>31</xdr:row>
      <xdr:rowOff>1066799</xdr:rowOff>
    </xdr:to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92075" y="34082831"/>
          <a:ext cx="1406525" cy="1054893"/>
        </a:xfrm>
        <a:prstGeom prst="rect">
          <a:avLst/>
        </a:prstGeom>
      </xdr:spPr>
    </xdr:pic>
    <xdr:clientData/>
  </xdr:twoCellAnchor>
  <xdr:twoCellAnchor>
    <xdr:from>
      <xdr:col>0</xdr:col>
      <xdr:colOff>267890</xdr:colOff>
      <xdr:row>32</xdr:row>
      <xdr:rowOff>9525</xdr:rowOff>
    </xdr:from>
    <xdr:to>
      <xdr:col>0</xdr:col>
      <xdr:colOff>1322783</xdr:colOff>
      <xdr:row>32</xdr:row>
      <xdr:rowOff>1064418</xdr:rowOff>
    </xdr:to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7890" y="35013900"/>
          <a:ext cx="1054893" cy="1054893"/>
        </a:xfrm>
        <a:prstGeom prst="rect">
          <a:avLst/>
        </a:prstGeom>
      </xdr:spPr>
    </xdr:pic>
    <xdr:clientData/>
  </xdr:twoCellAnchor>
  <xdr:twoCellAnchor>
    <xdr:from>
      <xdr:col>0</xdr:col>
      <xdr:colOff>184866</xdr:colOff>
      <xdr:row>33</xdr:row>
      <xdr:rowOff>7144</xdr:rowOff>
    </xdr:from>
    <xdr:to>
      <xdr:col>0</xdr:col>
      <xdr:colOff>1405807</xdr:colOff>
      <xdr:row>33</xdr:row>
      <xdr:rowOff>1062037</xdr:rowOff>
    </xdr:to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84866" y="36214050"/>
          <a:ext cx="1220941" cy="1054893"/>
        </a:xfrm>
        <a:prstGeom prst="rect">
          <a:avLst/>
        </a:prstGeom>
      </xdr:spPr>
    </xdr:pic>
    <xdr:clientData/>
  </xdr:twoCellAnchor>
  <xdr:twoCellAnchor>
    <xdr:from>
      <xdr:col>0</xdr:col>
      <xdr:colOff>258123</xdr:colOff>
      <xdr:row>34</xdr:row>
      <xdr:rowOff>4762</xdr:rowOff>
    </xdr:from>
    <xdr:to>
      <xdr:col>0</xdr:col>
      <xdr:colOff>1332551</xdr:colOff>
      <xdr:row>34</xdr:row>
      <xdr:rowOff>1059655</xdr:rowOff>
    </xdr:to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123" y="37676137"/>
          <a:ext cx="1074428" cy="1054893"/>
        </a:xfrm>
        <a:prstGeom prst="rect">
          <a:avLst/>
        </a:prstGeom>
      </xdr:spPr>
    </xdr:pic>
    <xdr:clientData/>
  </xdr:twoCellAnchor>
  <xdr:twoCellAnchor>
    <xdr:from>
      <xdr:col>0</xdr:col>
      <xdr:colOff>194634</xdr:colOff>
      <xdr:row>35</xdr:row>
      <xdr:rowOff>2381</xdr:rowOff>
    </xdr:from>
    <xdr:to>
      <xdr:col>0</xdr:col>
      <xdr:colOff>1396040</xdr:colOff>
      <xdr:row>35</xdr:row>
      <xdr:rowOff>1057274</xdr:rowOff>
    </xdr:to>
    <xdr:pic>
      <xdr:nvPicPr>
        <xdr:cNvPr id="33" name="Image 32" descr="Pictur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94634" y="38614350"/>
          <a:ext cx="1201406" cy="1054893"/>
        </a:xfrm>
        <a:prstGeom prst="rect">
          <a:avLst/>
        </a:prstGeom>
      </xdr:spPr>
    </xdr:pic>
    <xdr:clientData/>
  </xdr:twoCellAnchor>
  <xdr:twoCellAnchor>
    <xdr:from>
      <xdr:col>0</xdr:col>
      <xdr:colOff>258123</xdr:colOff>
      <xdr:row>36</xdr:row>
      <xdr:rowOff>0</xdr:rowOff>
    </xdr:from>
    <xdr:to>
      <xdr:col>0</xdr:col>
      <xdr:colOff>1332551</xdr:colOff>
      <xdr:row>36</xdr:row>
      <xdr:rowOff>1054893</xdr:rowOff>
    </xdr:to>
    <xdr:pic>
      <xdr:nvPicPr>
        <xdr:cNvPr id="34" name="Image 33" descr="Picture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123" y="40071675"/>
          <a:ext cx="1074428" cy="1054893"/>
        </a:xfrm>
        <a:prstGeom prst="rect">
          <a:avLst/>
        </a:prstGeom>
      </xdr:spPr>
    </xdr:pic>
    <xdr:clientData/>
  </xdr:twoCellAnchor>
  <xdr:twoCellAnchor>
    <xdr:from>
      <xdr:col>0</xdr:col>
      <xdr:colOff>267890</xdr:colOff>
      <xdr:row>36</xdr:row>
      <xdr:rowOff>1200150</xdr:rowOff>
    </xdr:from>
    <xdr:to>
      <xdr:col>0</xdr:col>
      <xdr:colOff>1322783</xdr:colOff>
      <xdr:row>37</xdr:row>
      <xdr:rowOff>1052512</xdr:rowOff>
    </xdr:to>
    <xdr:pic>
      <xdr:nvPicPr>
        <xdr:cNvPr id="35" name="Image 34" descr="Picture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7890" y="41014650"/>
          <a:ext cx="1054893" cy="1054893"/>
        </a:xfrm>
        <a:prstGeom prst="rect">
          <a:avLst/>
        </a:prstGeom>
      </xdr:spPr>
    </xdr:pic>
    <xdr:clientData/>
  </xdr:twoCellAnchor>
  <xdr:twoCellAnchor>
    <xdr:from>
      <xdr:col>0</xdr:col>
      <xdr:colOff>184866</xdr:colOff>
      <xdr:row>37</xdr:row>
      <xdr:rowOff>1197769</xdr:rowOff>
    </xdr:from>
    <xdr:to>
      <xdr:col>0</xdr:col>
      <xdr:colOff>1405807</xdr:colOff>
      <xdr:row>38</xdr:row>
      <xdr:rowOff>1050130</xdr:rowOff>
    </xdr:to>
    <xdr:pic>
      <xdr:nvPicPr>
        <xdr:cNvPr id="36" name="Image 35" descr="Pictur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84866" y="42214800"/>
          <a:ext cx="1220941" cy="1054893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39</xdr:row>
      <xdr:rowOff>55554</xdr:rowOff>
    </xdr:from>
    <xdr:to>
      <xdr:col>0</xdr:col>
      <xdr:colOff>1514475</xdr:colOff>
      <xdr:row>39</xdr:row>
      <xdr:rowOff>985051</xdr:rowOff>
    </xdr:to>
    <xdr:pic>
      <xdr:nvPicPr>
        <xdr:cNvPr id="37" name="Image 36" descr="Pictur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76200" y="43727679"/>
          <a:ext cx="1438275" cy="929497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40</xdr:row>
      <xdr:rowOff>38496</xdr:rowOff>
    </xdr:from>
    <xdr:to>
      <xdr:col>0</xdr:col>
      <xdr:colOff>1514475</xdr:colOff>
      <xdr:row>40</xdr:row>
      <xdr:rowOff>997346</xdr:rowOff>
    </xdr:to>
    <xdr:pic>
      <xdr:nvPicPr>
        <xdr:cNvPr id="38" name="Image 37" descr="Picture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76200" y="44910771"/>
          <a:ext cx="1438275" cy="95885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41</xdr:row>
      <xdr:rowOff>36115</xdr:rowOff>
    </xdr:from>
    <xdr:to>
      <xdr:col>0</xdr:col>
      <xdr:colOff>1514475</xdr:colOff>
      <xdr:row>41</xdr:row>
      <xdr:rowOff>994965</xdr:rowOff>
    </xdr:to>
    <xdr:pic>
      <xdr:nvPicPr>
        <xdr:cNvPr id="39" name="Image 38" descr="Picture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76200" y="45863271"/>
          <a:ext cx="1438275" cy="9588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ian Joel Carvajal Mahecha" id="{85864672-8712-4FD7-9C43-F53F561F220D}" userId="0affc4398972b485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4" dT="2026-09-29T14:45:21.74" personId="{85864672-8712-4FD7-9C43-F53F561F220D}" id="{15A98AC8-2C9B-4EAB-AD9B-BB8D97A70CF0}">
    <text>Source: WhatsApp Image 2026-09-29 at 9.40.39 AM (1).jpeg, uploaded 2026-09-29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704310-AF54-4167-A4D7-FA9ACFF2534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eace232-842a-4c88-bad1-a005feb7fa3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pageSetUpPr fitToPage="1"/>
  </sheetPr>
  <dimension ref="A1:R48"/>
  <sheetViews>
    <sheetView showGridLines="0" tabSelected="1" zoomScaleNormal="100" workbookViewId="0">
      <pane ySplit="4" topLeftCell="A38" activePane="bottomLeft" state="frozen"/>
      <selection pane="bottomLeft" activeCell="D49" sqref="D49"/>
    </sheetView>
  </sheetViews>
  <sheetFormatPr baseColWidth="10" defaultColWidth="9.140625" defaultRowHeight="18.75" x14ac:dyDescent="0.3"/>
  <cols>
    <col min="1" max="1" width="23.85546875" customWidth="1"/>
    <col min="2" max="2" width="21.85546875" customWidth="1"/>
    <col min="3" max="3" width="43.85546875" customWidth="1"/>
    <col min="4" max="4" width="28.5703125" customWidth="1"/>
    <col min="5" max="5" width="19" style="73" customWidth="1"/>
    <col min="6" max="6" width="14.28515625" customWidth="1"/>
    <col min="7" max="8" width="20" style="66" customWidth="1"/>
    <col min="9" max="11" width="20" customWidth="1"/>
    <col min="12" max="13" width="21.85546875" customWidth="1"/>
    <col min="14" max="14" width="12.42578125" customWidth="1"/>
    <col min="15" max="15" width="2.85546875" customWidth="1"/>
    <col min="16" max="16" width="16.140625" customWidth="1"/>
    <col min="17" max="18" width="19" customWidth="1"/>
  </cols>
  <sheetData>
    <row r="1" spans="1:18" ht="45.95" customHeight="1" x14ac:dyDescent="0.25">
      <c r="A1" s="61" t="s">
        <v>0</v>
      </c>
      <c r="B1" s="61"/>
      <c r="C1" s="61"/>
      <c r="D1" s="61"/>
      <c r="E1" s="67"/>
      <c r="F1" s="61"/>
      <c r="G1" s="63"/>
      <c r="H1" s="63"/>
      <c r="I1" s="61"/>
      <c r="J1" s="61"/>
      <c r="K1" s="61"/>
      <c r="L1" s="61"/>
      <c r="M1" s="61"/>
      <c r="N1" s="61"/>
    </row>
    <row r="2" spans="1:18" ht="21.95" customHeight="1" thickBot="1" x14ac:dyDescent="0.3">
      <c r="A2" s="62" t="s">
        <v>1</v>
      </c>
      <c r="B2" s="62"/>
      <c r="C2" s="62"/>
      <c r="D2" s="62"/>
      <c r="E2" s="68"/>
      <c r="F2" s="62"/>
      <c r="G2" s="64"/>
      <c r="H2" s="64"/>
      <c r="I2" s="62"/>
      <c r="J2" s="62"/>
      <c r="K2" s="62"/>
      <c r="L2" s="62"/>
      <c r="M2" s="62"/>
      <c r="N2" s="62"/>
    </row>
    <row r="3" spans="1:18" ht="30" customHeight="1" thickBot="1" x14ac:dyDescent="0.3">
      <c r="A3" s="36" t="s">
        <v>106</v>
      </c>
      <c r="B3" s="57"/>
      <c r="C3" s="58"/>
      <c r="D3" s="59" t="str">
        <f>IF($B$3="","Mostrando los "&amp;ROWS($N$5:$N$42)&amp;" productos",COUNTIF($N$5:$N$42,"✔")&amp;" de "&amp;ROWS($N$5:$N$42)&amp;" productos coinciden")</f>
        <v>Mostrando los 38 productos</v>
      </c>
      <c r="E3" s="69"/>
      <c r="F3" s="60"/>
      <c r="G3" s="65" t="s">
        <v>99</v>
      </c>
      <c r="H3" s="88"/>
      <c r="I3" s="53"/>
      <c r="J3" s="54" t="str">
        <f>"Total con ITBMS ("&amp;TEXT($Q$10,"0%")&amp;")"</f>
        <v>Total con ITBMS (7%)</v>
      </c>
      <c r="K3" s="89"/>
      <c r="L3" s="55"/>
      <c r="M3" s="55"/>
      <c r="P3" s="56" t="s">
        <v>88</v>
      </c>
      <c r="Q3" s="56"/>
      <c r="R3" s="56"/>
    </row>
    <row r="4" spans="1:18" ht="33.950000000000003" customHeight="1" x14ac:dyDescent="0.25">
      <c r="A4" s="9" t="s">
        <v>2</v>
      </c>
      <c r="B4" s="37" t="s">
        <v>3</v>
      </c>
      <c r="C4" s="37" t="s">
        <v>4</v>
      </c>
      <c r="D4" s="10" t="s">
        <v>5</v>
      </c>
      <c r="E4" s="74" t="s">
        <v>101</v>
      </c>
      <c r="F4" s="75" t="s">
        <v>89</v>
      </c>
      <c r="G4" s="76" t="s">
        <v>93</v>
      </c>
      <c r="H4" s="76" t="s">
        <v>96</v>
      </c>
      <c r="I4" s="12" t="s">
        <v>98</v>
      </c>
      <c r="J4" s="13" t="s">
        <v>103</v>
      </c>
      <c r="K4" s="14" t="s">
        <v>108</v>
      </c>
      <c r="L4" s="14" t="s">
        <v>104</v>
      </c>
      <c r="M4" s="14" t="s">
        <v>105</v>
      </c>
      <c r="N4" s="11" t="s">
        <v>107</v>
      </c>
      <c r="P4" s="27" t="s">
        <v>89</v>
      </c>
      <c r="Q4" s="27" t="s">
        <v>90</v>
      </c>
      <c r="R4" s="27" t="s">
        <v>91</v>
      </c>
    </row>
    <row r="5" spans="1:18" s="49" customFormat="1" ht="94.5" customHeight="1" x14ac:dyDescent="0.25">
      <c r="A5" s="41"/>
      <c r="B5" s="42" t="s">
        <v>6</v>
      </c>
      <c r="C5" s="43" t="s">
        <v>7</v>
      </c>
      <c r="D5" s="44" t="s">
        <v>8</v>
      </c>
      <c r="E5" s="70">
        <v>259.99</v>
      </c>
      <c r="F5" s="45" t="str">
        <f>IF(ISNUMBER(SEARCH("King",C5)),"KING",IF(ISNUMBER(SEARCH("Queen",C5)),"QUEEN",IF(ISNUMBER(SEARCH("Full",C5)),"FULL",IF(ISNUMBER(SEARCH("Twin",C5)),"TWIN",""))))</f>
        <v>KING</v>
      </c>
      <c r="G5" s="82" t="str">
        <f>IFERROR(IF(INDEX($R$5:$R$8,MATCH($F5,$P$5:$P$8,0))=G$4,$E5+INDEX($Q$5:$Q$8,MATCH($F5,$P$5:$P$8,0)),""),"")</f>
        <v/>
      </c>
      <c r="H5" s="82" t="str">
        <f t="shared" ref="H5:I24" si="0">IFERROR(IF(INDEX($R$5:$R$8,MATCH($F5,$P$5:$P$8,0))=H$4,$E5+INDEX($Q$5:$Q$8,MATCH($F5,$P$5:$P$8,0)),""),"")</f>
        <v/>
      </c>
      <c r="I5" s="77">
        <f t="shared" si="0"/>
        <v>469.98</v>
      </c>
      <c r="J5" s="46">
        <f>E5*(1+$Q$10)</f>
        <v>278.1893</v>
      </c>
      <c r="K5" s="47" t="str">
        <f>IF(G5="","",G5*(1+$Q$10))</f>
        <v/>
      </c>
      <c r="L5" s="47" t="str">
        <f t="shared" ref="L5:L42" si="1">IF(H5="","",H5*(1+$Q$10))</f>
        <v/>
      </c>
      <c r="M5" s="47">
        <f t="shared" ref="M5:M42" si="2">IF(I5="","",I5*(1+$Q$10))</f>
        <v>502.87860000000006</v>
      </c>
      <c r="N5" s="48" t="str">
        <f>IF(OR(TRIM($B$3)="",ISNUMBER(SEARCH(TRIM($B$3),B5)),ISNUMBER(SEARCH(TRIM($B$3),C5))),"✔","")</f>
        <v>✔</v>
      </c>
      <c r="P5" s="50" t="s">
        <v>92</v>
      </c>
      <c r="Q5" s="51">
        <v>76.010000000000005</v>
      </c>
      <c r="R5" s="52" t="s">
        <v>93</v>
      </c>
    </row>
    <row r="6" spans="1:18" s="49" customFormat="1" ht="95.1" customHeight="1" x14ac:dyDescent="0.25">
      <c r="A6" s="41"/>
      <c r="B6" s="42" t="s">
        <v>9</v>
      </c>
      <c r="C6" s="43" t="s">
        <v>10</v>
      </c>
      <c r="D6" s="44" t="s">
        <v>11</v>
      </c>
      <c r="E6" s="70">
        <v>219.99</v>
      </c>
      <c r="F6" s="45" t="str">
        <f t="shared" ref="F6:F42" si="3">IF(ISNUMBER(SEARCH("King",C6)),"KING",IF(ISNUMBER(SEARCH("Queen",C6)),"QUEEN",IF(ISNUMBER(SEARCH("Full",C6)),"FULL",IF(ISNUMBER(SEARCH("Twin",C6)),"TWIN",""))))</f>
        <v>QUEEN</v>
      </c>
      <c r="G6" s="82" t="str">
        <f t="shared" ref="G6:I25" si="4">IFERROR(IF(INDEX($R$5:$R$8,MATCH($F6,$P$5:$P$8,0))=G$4,$E6+INDEX($Q$5:$Q$8,MATCH($F6,$P$5:$P$8,0)),""),"")</f>
        <v/>
      </c>
      <c r="H6" s="82">
        <f t="shared" si="0"/>
        <v>378.65999999999997</v>
      </c>
      <c r="I6" s="77" t="str">
        <f t="shared" si="0"/>
        <v/>
      </c>
      <c r="J6" s="46">
        <f t="shared" ref="J6:J42" si="5">E6*(1+$Q$10)</f>
        <v>235.38930000000002</v>
      </c>
      <c r="K6" s="47" t="str">
        <f t="shared" ref="K6:K42" si="6">IF(G6="","",G6*(1+$Q$10))</f>
        <v/>
      </c>
      <c r="L6" s="47">
        <f t="shared" si="1"/>
        <v>405.1662</v>
      </c>
      <c r="M6" s="47" t="str">
        <f t="shared" si="2"/>
        <v/>
      </c>
      <c r="N6" s="48" t="str">
        <f t="shared" ref="N6:N42" si="7">IF(OR(TRIM($B$3)="",ISNUMBER(SEARCH(TRIM($B$3),B6)),ISNUMBER(SEARCH(TRIM($B$3),C6))),"✔","")</f>
        <v>✔</v>
      </c>
      <c r="P6" s="50" t="s">
        <v>94</v>
      </c>
      <c r="Q6" s="51">
        <v>86.65</v>
      </c>
      <c r="R6" s="52" t="s">
        <v>93</v>
      </c>
    </row>
    <row r="7" spans="1:18" ht="95.1" customHeight="1" x14ac:dyDescent="0.25">
      <c r="A7" s="41"/>
      <c r="B7" s="85" t="s">
        <v>12</v>
      </c>
      <c r="C7" s="86" t="s">
        <v>7</v>
      </c>
      <c r="D7" s="87" t="s">
        <v>13</v>
      </c>
      <c r="E7" s="71">
        <v>229.99</v>
      </c>
      <c r="F7" s="5" t="str">
        <f t="shared" si="3"/>
        <v>KING</v>
      </c>
      <c r="G7" s="83" t="str">
        <f t="shared" si="4"/>
        <v/>
      </c>
      <c r="H7" s="83" t="str">
        <f t="shared" si="0"/>
        <v/>
      </c>
      <c r="I7" s="78">
        <f t="shared" si="0"/>
        <v>439.98</v>
      </c>
      <c r="J7" s="7">
        <f t="shared" si="5"/>
        <v>246.08930000000004</v>
      </c>
      <c r="K7" s="2" t="str">
        <f t="shared" si="6"/>
        <v/>
      </c>
      <c r="L7" s="2" t="str">
        <f t="shared" si="1"/>
        <v/>
      </c>
      <c r="M7" s="2">
        <f t="shared" si="2"/>
        <v>470.77860000000004</v>
      </c>
      <c r="N7" s="38" t="str">
        <f t="shared" si="7"/>
        <v>✔</v>
      </c>
      <c r="P7" s="30" t="s">
        <v>95</v>
      </c>
      <c r="Q7" s="28">
        <v>158.66999999999999</v>
      </c>
      <c r="R7" s="32" t="s">
        <v>96</v>
      </c>
    </row>
    <row r="8" spans="1:18" ht="95.1" customHeight="1" x14ac:dyDescent="0.25">
      <c r="A8" s="41"/>
      <c r="B8" s="85" t="s">
        <v>12</v>
      </c>
      <c r="C8" s="86" t="s">
        <v>14</v>
      </c>
      <c r="D8" s="87" t="s">
        <v>13</v>
      </c>
      <c r="E8" s="71">
        <v>229.99</v>
      </c>
      <c r="F8" s="6" t="str">
        <f t="shared" si="3"/>
        <v>KING</v>
      </c>
      <c r="G8" s="83" t="str">
        <f t="shared" si="4"/>
        <v/>
      </c>
      <c r="H8" s="83" t="str">
        <f t="shared" si="0"/>
        <v/>
      </c>
      <c r="I8" s="79">
        <f t="shared" si="0"/>
        <v>439.98</v>
      </c>
      <c r="J8" s="8">
        <f t="shared" si="5"/>
        <v>246.08930000000004</v>
      </c>
      <c r="K8" s="4" t="str">
        <f t="shared" si="6"/>
        <v/>
      </c>
      <c r="L8" s="4" t="str">
        <f t="shared" si="1"/>
        <v/>
      </c>
      <c r="M8" s="4">
        <f t="shared" si="2"/>
        <v>470.77860000000004</v>
      </c>
      <c r="N8" s="39" t="str">
        <f t="shared" si="7"/>
        <v>✔</v>
      </c>
      <c r="P8" s="31" t="s">
        <v>97</v>
      </c>
      <c r="Q8" s="29">
        <v>209.99</v>
      </c>
      <c r="R8" s="33" t="s">
        <v>98</v>
      </c>
    </row>
    <row r="9" spans="1:18" ht="95.1" customHeight="1" x14ac:dyDescent="0.25">
      <c r="A9" s="41"/>
      <c r="B9" s="85" t="s">
        <v>12</v>
      </c>
      <c r="C9" s="86" t="s">
        <v>15</v>
      </c>
      <c r="D9" s="87" t="s">
        <v>13</v>
      </c>
      <c r="E9" s="71">
        <v>229.99</v>
      </c>
      <c r="F9" s="5" t="str">
        <f t="shared" si="3"/>
        <v>KING</v>
      </c>
      <c r="G9" s="83" t="str">
        <f t="shared" si="4"/>
        <v/>
      </c>
      <c r="H9" s="83" t="str">
        <f t="shared" si="0"/>
        <v/>
      </c>
      <c r="I9" s="78">
        <f t="shared" si="0"/>
        <v>439.98</v>
      </c>
      <c r="J9" s="7">
        <f t="shared" si="5"/>
        <v>246.08930000000004</v>
      </c>
      <c r="K9" s="2" t="str">
        <f t="shared" si="6"/>
        <v/>
      </c>
      <c r="L9" s="2" t="str">
        <f t="shared" si="1"/>
        <v/>
      </c>
      <c r="M9" s="2">
        <f t="shared" si="2"/>
        <v>470.77860000000004</v>
      </c>
      <c r="N9" s="38" t="str">
        <f t="shared" si="7"/>
        <v>✔</v>
      </c>
    </row>
    <row r="10" spans="1:18" ht="95.1" customHeight="1" x14ac:dyDescent="0.25">
      <c r="A10" s="41"/>
      <c r="B10" s="85" t="s">
        <v>16</v>
      </c>
      <c r="C10" s="86" t="s">
        <v>17</v>
      </c>
      <c r="D10" s="87" t="s">
        <v>18</v>
      </c>
      <c r="E10" s="71">
        <v>159.99</v>
      </c>
      <c r="F10" s="6" t="str">
        <f t="shared" si="3"/>
        <v>QUEEN</v>
      </c>
      <c r="G10" s="83" t="str">
        <f t="shared" si="4"/>
        <v/>
      </c>
      <c r="H10" s="83">
        <f t="shared" si="0"/>
        <v>318.65999999999997</v>
      </c>
      <c r="I10" s="79" t="str">
        <f t="shared" si="0"/>
        <v/>
      </c>
      <c r="J10" s="8">
        <f t="shared" si="5"/>
        <v>171.18930000000003</v>
      </c>
      <c r="K10" s="4" t="str">
        <f t="shared" si="6"/>
        <v/>
      </c>
      <c r="L10" s="4">
        <f t="shared" si="1"/>
        <v>340.96619999999996</v>
      </c>
      <c r="M10" s="4" t="str">
        <f t="shared" si="2"/>
        <v/>
      </c>
      <c r="N10" s="39" t="str">
        <f t="shared" si="7"/>
        <v>✔</v>
      </c>
      <c r="P10" s="35" t="s">
        <v>102</v>
      </c>
      <c r="Q10" s="34">
        <v>7.0000000000000007E-2</v>
      </c>
    </row>
    <row r="11" spans="1:18" ht="95.1" customHeight="1" x14ac:dyDescent="0.25">
      <c r="A11" s="41"/>
      <c r="B11" s="42" t="s">
        <v>16</v>
      </c>
      <c r="C11" s="43" t="s">
        <v>19</v>
      </c>
      <c r="D11" s="44" t="s">
        <v>18</v>
      </c>
      <c r="E11" s="71">
        <v>159.99</v>
      </c>
      <c r="F11" s="5" t="str">
        <f t="shared" si="3"/>
        <v>QUEEN</v>
      </c>
      <c r="G11" s="83" t="str">
        <f t="shared" si="4"/>
        <v/>
      </c>
      <c r="H11" s="83">
        <f t="shared" si="0"/>
        <v>318.65999999999997</v>
      </c>
      <c r="I11" s="78" t="str">
        <f t="shared" si="0"/>
        <v/>
      </c>
      <c r="J11" s="7">
        <f t="shared" si="5"/>
        <v>171.18930000000003</v>
      </c>
      <c r="K11" s="2" t="str">
        <f t="shared" si="6"/>
        <v/>
      </c>
      <c r="L11" s="2">
        <f t="shared" si="1"/>
        <v>340.96619999999996</v>
      </c>
      <c r="M11" s="2" t="str">
        <f t="shared" si="2"/>
        <v/>
      </c>
      <c r="N11" s="38" t="str">
        <f t="shared" si="7"/>
        <v>✔</v>
      </c>
    </row>
    <row r="12" spans="1:18" ht="95.1" customHeight="1" x14ac:dyDescent="0.25">
      <c r="A12" s="41"/>
      <c r="B12" s="85" t="s">
        <v>20</v>
      </c>
      <c r="C12" s="86" t="s">
        <v>15</v>
      </c>
      <c r="D12" s="87" t="s">
        <v>21</v>
      </c>
      <c r="E12" s="71">
        <v>179.99</v>
      </c>
      <c r="F12" s="6" t="str">
        <f t="shared" si="3"/>
        <v>KING</v>
      </c>
      <c r="G12" s="83" t="str">
        <f t="shared" si="4"/>
        <v/>
      </c>
      <c r="H12" s="83" t="str">
        <f t="shared" si="0"/>
        <v/>
      </c>
      <c r="I12" s="79">
        <f t="shared" si="0"/>
        <v>389.98</v>
      </c>
      <c r="J12" s="8">
        <f t="shared" si="5"/>
        <v>192.58930000000001</v>
      </c>
      <c r="K12" s="4" t="str">
        <f t="shared" si="6"/>
        <v/>
      </c>
      <c r="L12" s="4" t="str">
        <f t="shared" si="1"/>
        <v/>
      </c>
      <c r="M12" s="4">
        <f t="shared" si="2"/>
        <v>417.27860000000004</v>
      </c>
      <c r="N12" s="39" t="str">
        <f t="shared" si="7"/>
        <v>✔</v>
      </c>
    </row>
    <row r="13" spans="1:18" ht="95.1" customHeight="1" x14ac:dyDescent="0.25">
      <c r="A13" s="41"/>
      <c r="B13" s="85" t="s">
        <v>22</v>
      </c>
      <c r="C13" s="86" t="s">
        <v>17</v>
      </c>
      <c r="D13" s="87" t="s">
        <v>23</v>
      </c>
      <c r="E13" s="71">
        <v>139.99</v>
      </c>
      <c r="F13" s="5" t="str">
        <f>IF(ISNUMBER(SEARCH("King",C13)),"KING",IF(ISNUMBER(SEARCH("Queen",C13)),"QUEEN",IF(ISNUMBER(SEARCH("Full",C13)),"FULL",IF(ISNUMBER(SEARCH("Twin",C13)),"TWIN",""))))</f>
        <v>QUEEN</v>
      </c>
      <c r="G13" s="83" t="str">
        <f t="shared" si="4"/>
        <v/>
      </c>
      <c r="H13" s="83">
        <f t="shared" si="0"/>
        <v>298.65999999999997</v>
      </c>
      <c r="I13" s="78" t="str">
        <f t="shared" si="0"/>
        <v/>
      </c>
      <c r="J13" s="7">
        <f t="shared" si="5"/>
        <v>149.78930000000003</v>
      </c>
      <c r="K13" s="2" t="str">
        <f t="shared" si="6"/>
        <v/>
      </c>
      <c r="L13" s="2">
        <f t="shared" si="1"/>
        <v>319.56619999999998</v>
      </c>
      <c r="M13" s="2" t="str">
        <f t="shared" si="2"/>
        <v/>
      </c>
      <c r="N13" s="38" t="str">
        <f t="shared" si="7"/>
        <v>✔</v>
      </c>
    </row>
    <row r="14" spans="1:18" ht="95.1" customHeight="1" x14ac:dyDescent="0.25">
      <c r="A14" s="3"/>
      <c r="B14" s="85" t="s">
        <v>24</v>
      </c>
      <c r="C14" s="86" t="s">
        <v>17</v>
      </c>
      <c r="D14" s="87" t="s">
        <v>23</v>
      </c>
      <c r="E14" s="71">
        <v>139.99</v>
      </c>
      <c r="F14" s="6" t="str">
        <f t="shared" si="3"/>
        <v>QUEEN</v>
      </c>
      <c r="G14" s="83" t="str">
        <f t="shared" si="4"/>
        <v/>
      </c>
      <c r="H14" s="83">
        <f t="shared" si="0"/>
        <v>298.65999999999997</v>
      </c>
      <c r="I14" s="79" t="str">
        <f t="shared" si="0"/>
        <v/>
      </c>
      <c r="J14" s="8">
        <f t="shared" si="5"/>
        <v>149.78930000000003</v>
      </c>
      <c r="K14" s="4" t="str">
        <f t="shared" si="6"/>
        <v/>
      </c>
      <c r="L14" s="4">
        <f t="shared" si="1"/>
        <v>319.56619999999998</v>
      </c>
      <c r="M14" s="4" t="str">
        <f t="shared" si="2"/>
        <v/>
      </c>
      <c r="N14" s="39" t="str">
        <f t="shared" si="7"/>
        <v>✔</v>
      </c>
    </row>
    <row r="15" spans="1:18" ht="95.1" customHeight="1" x14ac:dyDescent="0.25">
      <c r="A15" s="1"/>
      <c r="B15" s="85" t="s">
        <v>25</v>
      </c>
      <c r="C15" s="43" t="s">
        <v>7</v>
      </c>
      <c r="D15" s="87" t="s">
        <v>26</v>
      </c>
      <c r="E15" s="71">
        <v>199.99</v>
      </c>
      <c r="F15" s="5" t="str">
        <f t="shared" si="3"/>
        <v>KING</v>
      </c>
      <c r="G15" s="83" t="str">
        <f t="shared" si="4"/>
        <v/>
      </c>
      <c r="H15" s="83" t="str">
        <f t="shared" si="0"/>
        <v/>
      </c>
      <c r="I15" s="78">
        <f t="shared" si="0"/>
        <v>409.98</v>
      </c>
      <c r="J15" s="7">
        <f t="shared" si="5"/>
        <v>213.98930000000001</v>
      </c>
      <c r="K15" s="2" t="str">
        <f t="shared" si="6"/>
        <v/>
      </c>
      <c r="L15" s="2" t="str">
        <f t="shared" si="1"/>
        <v/>
      </c>
      <c r="M15" s="2">
        <f t="shared" si="2"/>
        <v>438.67860000000002</v>
      </c>
      <c r="N15" s="38" t="str">
        <f t="shared" si="7"/>
        <v>✔</v>
      </c>
    </row>
    <row r="16" spans="1:18" ht="95.1" customHeight="1" x14ac:dyDescent="0.25">
      <c r="A16" s="41"/>
      <c r="B16" s="85" t="s">
        <v>27</v>
      </c>
      <c r="C16" s="86" t="s">
        <v>28</v>
      </c>
      <c r="D16" s="87" t="s">
        <v>29</v>
      </c>
      <c r="E16" s="71">
        <v>99.99</v>
      </c>
      <c r="F16" s="6" t="str">
        <f t="shared" si="3"/>
        <v>FULL</v>
      </c>
      <c r="G16" s="83">
        <f t="shared" si="4"/>
        <v>186.64</v>
      </c>
      <c r="H16" s="83" t="str">
        <f t="shared" si="0"/>
        <v/>
      </c>
      <c r="I16" s="79" t="str">
        <f t="shared" si="0"/>
        <v/>
      </c>
      <c r="J16" s="8">
        <f t="shared" si="5"/>
        <v>106.9893</v>
      </c>
      <c r="K16" s="4">
        <f t="shared" si="6"/>
        <v>199.70480000000001</v>
      </c>
      <c r="L16" s="4" t="str">
        <f t="shared" si="1"/>
        <v/>
      </c>
      <c r="M16" s="4" t="str">
        <f t="shared" si="2"/>
        <v/>
      </c>
      <c r="N16" s="39" t="str">
        <f t="shared" si="7"/>
        <v>✔</v>
      </c>
    </row>
    <row r="17" spans="1:14" ht="95.1" customHeight="1" x14ac:dyDescent="0.25">
      <c r="A17" s="41"/>
      <c r="B17" s="85" t="s">
        <v>30</v>
      </c>
      <c r="C17" s="86" t="s">
        <v>31</v>
      </c>
      <c r="D17" s="87" t="s">
        <v>32</v>
      </c>
      <c r="E17" s="71">
        <v>129.99</v>
      </c>
      <c r="F17" s="5" t="str">
        <f t="shared" si="3"/>
        <v>QUEEN</v>
      </c>
      <c r="G17" s="83" t="str">
        <f t="shared" si="4"/>
        <v/>
      </c>
      <c r="H17" s="83">
        <f t="shared" si="0"/>
        <v>288.65999999999997</v>
      </c>
      <c r="I17" s="78" t="str">
        <f t="shared" si="0"/>
        <v/>
      </c>
      <c r="J17" s="7">
        <f t="shared" si="5"/>
        <v>139.08930000000001</v>
      </c>
      <c r="K17" s="2" t="str">
        <f t="shared" si="6"/>
        <v/>
      </c>
      <c r="L17" s="2">
        <f t="shared" si="1"/>
        <v>308.86619999999999</v>
      </c>
      <c r="M17" s="2" t="str">
        <f t="shared" si="2"/>
        <v/>
      </c>
      <c r="N17" s="38" t="str">
        <f t="shared" si="7"/>
        <v>✔</v>
      </c>
    </row>
    <row r="18" spans="1:14" ht="95.1" customHeight="1" x14ac:dyDescent="0.25">
      <c r="A18" s="41"/>
      <c r="B18" s="85" t="s">
        <v>33</v>
      </c>
      <c r="C18" s="86" t="s">
        <v>34</v>
      </c>
      <c r="D18" s="87" t="s">
        <v>35</v>
      </c>
      <c r="E18" s="71">
        <v>119.99</v>
      </c>
      <c r="F18" s="6" t="str">
        <f t="shared" si="3"/>
        <v>FULL</v>
      </c>
      <c r="G18" s="83">
        <f t="shared" si="4"/>
        <v>206.64</v>
      </c>
      <c r="H18" s="83" t="str">
        <f t="shared" si="0"/>
        <v/>
      </c>
      <c r="I18" s="79" t="str">
        <f t="shared" si="0"/>
        <v/>
      </c>
      <c r="J18" s="8">
        <f t="shared" si="5"/>
        <v>128.38929999999999</v>
      </c>
      <c r="K18" s="4">
        <f t="shared" si="6"/>
        <v>221.10480000000001</v>
      </c>
      <c r="L18" s="4" t="str">
        <f t="shared" si="1"/>
        <v/>
      </c>
      <c r="M18" s="4" t="str">
        <f t="shared" si="2"/>
        <v/>
      </c>
      <c r="N18" s="39" t="str">
        <f t="shared" si="7"/>
        <v>✔</v>
      </c>
    </row>
    <row r="19" spans="1:14" ht="95.1" customHeight="1" x14ac:dyDescent="0.25">
      <c r="A19" s="41"/>
      <c r="B19" s="85" t="s">
        <v>36</v>
      </c>
      <c r="C19" s="86" t="s">
        <v>37</v>
      </c>
      <c r="D19" s="87" t="s">
        <v>38</v>
      </c>
      <c r="E19" s="71">
        <v>159.99</v>
      </c>
      <c r="F19" s="5" t="str">
        <f t="shared" si="3"/>
        <v>KING</v>
      </c>
      <c r="G19" s="83" t="str">
        <f t="shared" si="4"/>
        <v/>
      </c>
      <c r="H19" s="83" t="str">
        <f t="shared" si="0"/>
        <v/>
      </c>
      <c r="I19" s="78">
        <f t="shared" si="0"/>
        <v>369.98</v>
      </c>
      <c r="J19" s="7">
        <f t="shared" si="5"/>
        <v>171.18930000000003</v>
      </c>
      <c r="K19" s="2" t="str">
        <f t="shared" si="6"/>
        <v/>
      </c>
      <c r="L19" s="2" t="str">
        <f t="shared" si="1"/>
        <v/>
      </c>
      <c r="M19" s="2">
        <f t="shared" si="2"/>
        <v>395.87860000000006</v>
      </c>
      <c r="N19" s="38" t="str">
        <f t="shared" si="7"/>
        <v>✔</v>
      </c>
    </row>
    <row r="20" spans="1:14" ht="95.1" customHeight="1" x14ac:dyDescent="0.25">
      <c r="A20" s="41"/>
      <c r="B20" s="42" t="s">
        <v>39</v>
      </c>
      <c r="C20" s="86" t="s">
        <v>40</v>
      </c>
      <c r="D20" s="87" t="s">
        <v>41</v>
      </c>
      <c r="E20" s="71">
        <v>119.99</v>
      </c>
      <c r="F20" s="6" t="str">
        <f t="shared" si="3"/>
        <v>QUEEN</v>
      </c>
      <c r="G20" s="83" t="str">
        <f t="shared" si="4"/>
        <v/>
      </c>
      <c r="H20" s="83">
        <f t="shared" si="0"/>
        <v>278.65999999999997</v>
      </c>
      <c r="I20" s="79" t="str">
        <f t="shared" si="0"/>
        <v/>
      </c>
      <c r="J20" s="8">
        <f t="shared" si="5"/>
        <v>128.38929999999999</v>
      </c>
      <c r="K20" s="4" t="str">
        <f t="shared" si="6"/>
        <v/>
      </c>
      <c r="L20" s="4">
        <f t="shared" si="1"/>
        <v>298.1662</v>
      </c>
      <c r="M20" s="4" t="str">
        <f t="shared" si="2"/>
        <v/>
      </c>
      <c r="N20" s="39" t="str">
        <f t="shared" si="7"/>
        <v>✔</v>
      </c>
    </row>
    <row r="21" spans="1:14" ht="95.1" customHeight="1" x14ac:dyDescent="0.25">
      <c r="A21" s="41"/>
      <c r="B21" s="85" t="s">
        <v>42</v>
      </c>
      <c r="C21" s="86" t="s">
        <v>34</v>
      </c>
      <c r="D21" s="87" t="s">
        <v>35</v>
      </c>
      <c r="E21" s="71">
        <v>139.99</v>
      </c>
      <c r="F21" s="5" t="str">
        <f t="shared" si="3"/>
        <v>FULL</v>
      </c>
      <c r="G21" s="83">
        <f t="shared" si="4"/>
        <v>226.64000000000001</v>
      </c>
      <c r="H21" s="83" t="str">
        <f t="shared" si="0"/>
        <v/>
      </c>
      <c r="I21" s="78" t="str">
        <f t="shared" si="0"/>
        <v/>
      </c>
      <c r="J21" s="7">
        <f t="shared" si="5"/>
        <v>149.78930000000003</v>
      </c>
      <c r="K21" s="2">
        <f t="shared" si="6"/>
        <v>242.50480000000002</v>
      </c>
      <c r="L21" s="2" t="str">
        <f t="shared" si="1"/>
        <v/>
      </c>
      <c r="M21" s="2" t="str">
        <f t="shared" si="2"/>
        <v/>
      </c>
      <c r="N21" s="38" t="str">
        <f t="shared" si="7"/>
        <v>✔</v>
      </c>
    </row>
    <row r="22" spans="1:14" ht="95.1" customHeight="1" x14ac:dyDescent="0.25">
      <c r="A22" s="41"/>
      <c r="B22" s="85" t="s">
        <v>43</v>
      </c>
      <c r="C22" s="86" t="s">
        <v>44</v>
      </c>
      <c r="D22" s="87" t="s">
        <v>29</v>
      </c>
      <c r="E22" s="71">
        <v>99.99</v>
      </c>
      <c r="F22" s="6" t="str">
        <f t="shared" si="3"/>
        <v>FULL</v>
      </c>
      <c r="G22" s="83">
        <f t="shared" si="4"/>
        <v>186.64</v>
      </c>
      <c r="H22" s="83" t="str">
        <f t="shared" si="0"/>
        <v/>
      </c>
      <c r="I22" s="79" t="str">
        <f t="shared" si="0"/>
        <v/>
      </c>
      <c r="J22" s="8">
        <f t="shared" si="5"/>
        <v>106.9893</v>
      </c>
      <c r="K22" s="4">
        <f t="shared" si="6"/>
        <v>199.70480000000001</v>
      </c>
      <c r="L22" s="4" t="str">
        <f t="shared" si="1"/>
        <v/>
      </c>
      <c r="M22" s="4" t="str">
        <f t="shared" si="2"/>
        <v/>
      </c>
      <c r="N22" s="39" t="str">
        <f t="shared" si="7"/>
        <v>✔</v>
      </c>
    </row>
    <row r="23" spans="1:14" ht="95.1" customHeight="1" x14ac:dyDescent="0.25">
      <c r="A23" s="41"/>
      <c r="B23" s="85" t="s">
        <v>45</v>
      </c>
      <c r="C23" s="86" t="s">
        <v>46</v>
      </c>
      <c r="D23" s="87" t="s">
        <v>41</v>
      </c>
      <c r="E23" s="71">
        <v>129.99</v>
      </c>
      <c r="F23" s="5" t="str">
        <f t="shared" si="3"/>
        <v>QUEEN</v>
      </c>
      <c r="G23" s="83" t="str">
        <f t="shared" si="4"/>
        <v/>
      </c>
      <c r="H23" s="83">
        <f t="shared" si="0"/>
        <v>288.65999999999997</v>
      </c>
      <c r="I23" s="78" t="str">
        <f t="shared" si="0"/>
        <v/>
      </c>
      <c r="J23" s="7">
        <f t="shared" si="5"/>
        <v>139.08930000000001</v>
      </c>
      <c r="K23" s="2" t="str">
        <f t="shared" si="6"/>
        <v/>
      </c>
      <c r="L23" s="2">
        <f t="shared" si="1"/>
        <v>308.86619999999999</v>
      </c>
      <c r="M23" s="2" t="str">
        <f t="shared" si="2"/>
        <v/>
      </c>
      <c r="N23" s="38" t="str">
        <f t="shared" si="7"/>
        <v>✔</v>
      </c>
    </row>
    <row r="24" spans="1:14" ht="95.1" customHeight="1" x14ac:dyDescent="0.25">
      <c r="A24" s="41"/>
      <c r="B24" s="85" t="s">
        <v>47</v>
      </c>
      <c r="C24" s="86" t="s">
        <v>48</v>
      </c>
      <c r="D24" s="44" t="s">
        <v>49</v>
      </c>
      <c r="E24" s="71">
        <v>129.99</v>
      </c>
      <c r="F24" s="6" t="str">
        <f t="shared" si="3"/>
        <v>QUEEN</v>
      </c>
      <c r="G24" s="83" t="str">
        <f t="shared" si="4"/>
        <v/>
      </c>
      <c r="H24" s="83">
        <f t="shared" si="0"/>
        <v>288.65999999999997</v>
      </c>
      <c r="I24" s="79" t="str">
        <f t="shared" si="0"/>
        <v/>
      </c>
      <c r="J24" s="8">
        <f t="shared" si="5"/>
        <v>139.08930000000001</v>
      </c>
      <c r="K24" s="4" t="str">
        <f t="shared" si="6"/>
        <v/>
      </c>
      <c r="L24" s="4">
        <f t="shared" si="1"/>
        <v>308.86619999999999</v>
      </c>
      <c r="M24" s="4" t="str">
        <f t="shared" si="2"/>
        <v/>
      </c>
      <c r="N24" s="39" t="str">
        <f t="shared" si="7"/>
        <v>✔</v>
      </c>
    </row>
    <row r="25" spans="1:14" ht="95.1" customHeight="1" x14ac:dyDescent="0.25">
      <c r="A25" s="41"/>
      <c r="B25" s="85" t="s">
        <v>50</v>
      </c>
      <c r="C25" s="86" t="s">
        <v>51</v>
      </c>
      <c r="D25" s="44" t="s">
        <v>49</v>
      </c>
      <c r="E25" s="71">
        <v>129.99</v>
      </c>
      <c r="F25" s="5" t="str">
        <f t="shared" si="3"/>
        <v>QUEEN</v>
      </c>
      <c r="G25" s="83" t="str">
        <f t="shared" si="4"/>
        <v/>
      </c>
      <c r="H25" s="83">
        <f t="shared" si="4"/>
        <v>288.65999999999997</v>
      </c>
      <c r="I25" s="78" t="str">
        <f t="shared" si="4"/>
        <v/>
      </c>
      <c r="J25" s="7">
        <f t="shared" si="5"/>
        <v>139.08930000000001</v>
      </c>
      <c r="K25" s="2" t="str">
        <f t="shared" si="6"/>
        <v/>
      </c>
      <c r="L25" s="2">
        <f t="shared" si="1"/>
        <v>308.86619999999999</v>
      </c>
      <c r="M25" s="2" t="str">
        <f t="shared" si="2"/>
        <v/>
      </c>
      <c r="N25" s="38" t="str">
        <f t="shared" si="7"/>
        <v>✔</v>
      </c>
    </row>
    <row r="26" spans="1:14" ht="95.1" customHeight="1" x14ac:dyDescent="0.25">
      <c r="A26" s="41"/>
      <c r="B26" s="85" t="s">
        <v>52</v>
      </c>
      <c r="C26" s="43" t="s">
        <v>53</v>
      </c>
      <c r="D26" s="44" t="s">
        <v>49</v>
      </c>
      <c r="E26" s="71">
        <v>129.99</v>
      </c>
      <c r="F26" s="6" t="str">
        <f t="shared" si="3"/>
        <v>QUEEN</v>
      </c>
      <c r="G26" s="83" t="str">
        <f t="shared" ref="G26:I42" si="8">IFERROR(IF(INDEX($R$5:$R$8,MATCH($F26,$P$5:$P$8,0))=G$4,$E26+INDEX($Q$5:$Q$8,MATCH($F26,$P$5:$P$8,0)),""),"")</f>
        <v/>
      </c>
      <c r="H26" s="83">
        <f t="shared" si="8"/>
        <v>288.65999999999997</v>
      </c>
      <c r="I26" s="79" t="str">
        <f t="shared" si="8"/>
        <v/>
      </c>
      <c r="J26" s="8">
        <f t="shared" si="5"/>
        <v>139.08930000000001</v>
      </c>
      <c r="K26" s="4" t="str">
        <f t="shared" si="6"/>
        <v/>
      </c>
      <c r="L26" s="4">
        <f t="shared" si="1"/>
        <v>308.86619999999999</v>
      </c>
      <c r="M26" s="4" t="str">
        <f t="shared" si="2"/>
        <v/>
      </c>
      <c r="N26" s="39" t="str">
        <f t="shared" si="7"/>
        <v>✔</v>
      </c>
    </row>
    <row r="27" spans="1:14" ht="95.1" customHeight="1" x14ac:dyDescent="0.25">
      <c r="A27" s="41"/>
      <c r="B27" s="85" t="s">
        <v>54</v>
      </c>
      <c r="C27" s="86" t="s">
        <v>55</v>
      </c>
      <c r="D27" s="87" t="s">
        <v>29</v>
      </c>
      <c r="E27" s="71">
        <v>119.99</v>
      </c>
      <c r="F27" s="5" t="str">
        <f t="shared" si="3"/>
        <v>FULL</v>
      </c>
      <c r="G27" s="83">
        <f t="shared" si="8"/>
        <v>206.64</v>
      </c>
      <c r="H27" s="83" t="str">
        <f t="shared" si="8"/>
        <v/>
      </c>
      <c r="I27" s="78" t="str">
        <f t="shared" si="8"/>
        <v/>
      </c>
      <c r="J27" s="7">
        <f t="shared" si="5"/>
        <v>128.38929999999999</v>
      </c>
      <c r="K27" s="2">
        <f t="shared" si="6"/>
        <v>221.10480000000001</v>
      </c>
      <c r="L27" s="2" t="str">
        <f t="shared" si="1"/>
        <v/>
      </c>
      <c r="M27" s="2" t="str">
        <f t="shared" si="2"/>
        <v/>
      </c>
      <c r="N27" s="38" t="str">
        <f t="shared" si="7"/>
        <v>✔</v>
      </c>
    </row>
    <row r="28" spans="1:14" ht="95.1" customHeight="1" x14ac:dyDescent="0.25">
      <c r="A28" s="41"/>
      <c r="B28" s="85" t="s">
        <v>57</v>
      </c>
      <c r="C28" s="86" t="s">
        <v>58</v>
      </c>
      <c r="D28" s="44" t="s">
        <v>29</v>
      </c>
      <c r="E28" s="71">
        <v>119.99</v>
      </c>
      <c r="F28" s="6" t="str">
        <f t="shared" si="3"/>
        <v>FULL</v>
      </c>
      <c r="G28" s="83">
        <f t="shared" si="8"/>
        <v>206.64</v>
      </c>
      <c r="H28" s="83" t="str">
        <f t="shared" si="8"/>
        <v/>
      </c>
      <c r="I28" s="79" t="str">
        <f t="shared" si="8"/>
        <v/>
      </c>
      <c r="J28" s="8">
        <f t="shared" si="5"/>
        <v>128.38929999999999</v>
      </c>
      <c r="K28" s="4">
        <f t="shared" si="6"/>
        <v>221.10480000000001</v>
      </c>
      <c r="L28" s="4" t="str">
        <f t="shared" si="1"/>
        <v/>
      </c>
      <c r="M28" s="4" t="str">
        <f t="shared" si="2"/>
        <v/>
      </c>
      <c r="N28" s="39" t="str">
        <f t="shared" si="7"/>
        <v>✔</v>
      </c>
    </row>
    <row r="29" spans="1:14" ht="95.1" customHeight="1" x14ac:dyDescent="0.25">
      <c r="A29" s="41"/>
      <c r="B29" s="85" t="s">
        <v>59</v>
      </c>
      <c r="C29" s="43" t="s">
        <v>60</v>
      </c>
      <c r="D29" s="44" t="s">
        <v>29</v>
      </c>
      <c r="E29" s="71">
        <v>119.99</v>
      </c>
      <c r="F29" s="5" t="str">
        <f t="shared" si="3"/>
        <v>FULL</v>
      </c>
      <c r="G29" s="83">
        <f t="shared" si="8"/>
        <v>206.64</v>
      </c>
      <c r="H29" s="83" t="str">
        <f t="shared" si="8"/>
        <v/>
      </c>
      <c r="I29" s="78" t="str">
        <f t="shared" si="8"/>
        <v/>
      </c>
      <c r="J29" s="7">
        <f t="shared" si="5"/>
        <v>128.38929999999999</v>
      </c>
      <c r="K29" s="2">
        <f t="shared" si="6"/>
        <v>221.10480000000001</v>
      </c>
      <c r="L29" s="2" t="str">
        <f t="shared" si="1"/>
        <v/>
      </c>
      <c r="M29" s="2" t="str">
        <f t="shared" si="2"/>
        <v/>
      </c>
      <c r="N29" s="38" t="str">
        <f t="shared" si="7"/>
        <v>✔</v>
      </c>
    </row>
    <row r="30" spans="1:14" ht="95.1" customHeight="1" x14ac:dyDescent="0.25">
      <c r="A30" s="41"/>
      <c r="B30" s="85" t="s">
        <v>61</v>
      </c>
      <c r="C30" s="86" t="s">
        <v>62</v>
      </c>
      <c r="D30" s="87" t="s">
        <v>41</v>
      </c>
      <c r="E30" s="71">
        <v>129.99</v>
      </c>
      <c r="F30" s="6" t="str">
        <f t="shared" si="3"/>
        <v>QUEEN</v>
      </c>
      <c r="G30" s="83" t="str">
        <f t="shared" si="8"/>
        <v/>
      </c>
      <c r="H30" s="83">
        <f t="shared" si="8"/>
        <v>288.65999999999997</v>
      </c>
      <c r="I30" s="79" t="str">
        <f t="shared" si="8"/>
        <v/>
      </c>
      <c r="J30" s="8">
        <f t="shared" si="5"/>
        <v>139.08930000000001</v>
      </c>
      <c r="K30" s="4" t="str">
        <f t="shared" si="6"/>
        <v/>
      </c>
      <c r="L30" s="4">
        <f t="shared" si="1"/>
        <v>308.86619999999999</v>
      </c>
      <c r="M30" s="4" t="str">
        <f t="shared" si="2"/>
        <v/>
      </c>
      <c r="N30" s="39" t="str">
        <f t="shared" si="7"/>
        <v>✔</v>
      </c>
    </row>
    <row r="31" spans="1:14" ht="95.1" customHeight="1" x14ac:dyDescent="0.25">
      <c r="A31" s="41"/>
      <c r="B31" s="85" t="s">
        <v>63</v>
      </c>
      <c r="C31" s="43" t="s">
        <v>64</v>
      </c>
      <c r="D31" s="44" t="s">
        <v>41</v>
      </c>
      <c r="E31" s="71">
        <v>129.99</v>
      </c>
      <c r="F31" s="5" t="str">
        <f t="shared" si="3"/>
        <v>QUEEN</v>
      </c>
      <c r="G31" s="83" t="str">
        <f t="shared" si="8"/>
        <v/>
      </c>
      <c r="H31" s="83">
        <f t="shared" si="8"/>
        <v>288.65999999999997</v>
      </c>
      <c r="I31" s="78" t="str">
        <f t="shared" si="8"/>
        <v/>
      </c>
      <c r="J31" s="7">
        <f t="shared" si="5"/>
        <v>139.08930000000001</v>
      </c>
      <c r="K31" s="2" t="str">
        <f t="shared" si="6"/>
        <v/>
      </c>
      <c r="L31" s="2">
        <f t="shared" si="1"/>
        <v>308.86619999999999</v>
      </c>
      <c r="M31" s="2" t="str">
        <f t="shared" si="2"/>
        <v/>
      </c>
      <c r="N31" s="38" t="str">
        <f t="shared" si="7"/>
        <v>✔</v>
      </c>
    </row>
    <row r="32" spans="1:14" ht="95.1" customHeight="1" x14ac:dyDescent="0.25">
      <c r="A32" s="41"/>
      <c r="B32" s="85" t="s">
        <v>65</v>
      </c>
      <c r="C32" s="86" t="s">
        <v>66</v>
      </c>
      <c r="D32" s="44" t="s">
        <v>41</v>
      </c>
      <c r="E32" s="71">
        <v>129.99</v>
      </c>
      <c r="F32" s="6" t="str">
        <f t="shared" si="3"/>
        <v>QUEEN</v>
      </c>
      <c r="G32" s="83" t="str">
        <f t="shared" si="8"/>
        <v/>
      </c>
      <c r="H32" s="83">
        <f t="shared" si="8"/>
        <v>288.65999999999997</v>
      </c>
      <c r="I32" s="79" t="str">
        <f t="shared" si="8"/>
        <v/>
      </c>
      <c r="J32" s="8">
        <f t="shared" si="5"/>
        <v>139.08930000000001</v>
      </c>
      <c r="K32" s="4" t="str">
        <f t="shared" si="6"/>
        <v/>
      </c>
      <c r="L32" s="4">
        <f t="shared" si="1"/>
        <v>308.86619999999999</v>
      </c>
      <c r="M32" s="4" t="str">
        <f t="shared" si="2"/>
        <v/>
      </c>
      <c r="N32" s="39" t="str">
        <f t="shared" si="7"/>
        <v>✔</v>
      </c>
    </row>
    <row r="33" spans="1:14" ht="95.1" customHeight="1" x14ac:dyDescent="0.25">
      <c r="A33" s="41"/>
      <c r="B33" s="85" t="s">
        <v>67</v>
      </c>
      <c r="C33" s="86" t="s">
        <v>68</v>
      </c>
      <c r="D33" s="44" t="s">
        <v>41</v>
      </c>
      <c r="E33" s="71">
        <v>129.99</v>
      </c>
      <c r="F33" s="5" t="str">
        <f t="shared" si="3"/>
        <v>QUEEN</v>
      </c>
      <c r="G33" s="83" t="str">
        <f t="shared" si="8"/>
        <v/>
      </c>
      <c r="H33" s="83">
        <f t="shared" si="8"/>
        <v>288.65999999999997</v>
      </c>
      <c r="I33" s="78" t="str">
        <f t="shared" si="8"/>
        <v/>
      </c>
      <c r="J33" s="7">
        <f t="shared" si="5"/>
        <v>139.08930000000001</v>
      </c>
      <c r="K33" s="2" t="str">
        <f t="shared" si="6"/>
        <v/>
      </c>
      <c r="L33" s="2">
        <f t="shared" si="1"/>
        <v>308.86619999999999</v>
      </c>
      <c r="M33" s="2" t="str">
        <f t="shared" si="2"/>
        <v/>
      </c>
      <c r="N33" s="38" t="str">
        <f t="shared" si="7"/>
        <v>✔</v>
      </c>
    </row>
    <row r="34" spans="1:14" ht="95.1" customHeight="1" x14ac:dyDescent="0.25">
      <c r="A34" s="41"/>
      <c r="B34" s="85" t="s">
        <v>69</v>
      </c>
      <c r="C34" s="43" t="s">
        <v>62</v>
      </c>
      <c r="D34" s="44" t="s">
        <v>41</v>
      </c>
      <c r="E34" s="71">
        <v>129.99</v>
      </c>
      <c r="F34" s="6" t="str">
        <f t="shared" si="3"/>
        <v>QUEEN</v>
      </c>
      <c r="G34" s="83" t="str">
        <f t="shared" si="8"/>
        <v/>
      </c>
      <c r="H34" s="83">
        <f t="shared" si="8"/>
        <v>288.65999999999997</v>
      </c>
      <c r="I34" s="79" t="str">
        <f t="shared" si="8"/>
        <v/>
      </c>
      <c r="J34" s="8">
        <f t="shared" si="5"/>
        <v>139.08930000000001</v>
      </c>
      <c r="K34" s="4" t="str">
        <f t="shared" si="6"/>
        <v/>
      </c>
      <c r="L34" s="4">
        <f t="shared" si="1"/>
        <v>308.86619999999999</v>
      </c>
      <c r="M34" s="4" t="str">
        <f t="shared" si="2"/>
        <v/>
      </c>
      <c r="N34" s="39" t="str">
        <f t="shared" si="7"/>
        <v>✔</v>
      </c>
    </row>
    <row r="35" spans="1:14" ht="95.1" customHeight="1" x14ac:dyDescent="0.25">
      <c r="A35" s="41"/>
      <c r="B35" s="42" t="s">
        <v>70</v>
      </c>
      <c r="C35" s="43" t="s">
        <v>71</v>
      </c>
      <c r="D35" s="44" t="s">
        <v>41</v>
      </c>
      <c r="E35" s="71">
        <v>129.99</v>
      </c>
      <c r="F35" s="5" t="str">
        <f t="shared" si="3"/>
        <v>QUEEN</v>
      </c>
      <c r="G35" s="83" t="str">
        <f t="shared" si="8"/>
        <v/>
      </c>
      <c r="H35" s="83">
        <f t="shared" si="8"/>
        <v>288.65999999999997</v>
      </c>
      <c r="I35" s="78" t="str">
        <f t="shared" si="8"/>
        <v/>
      </c>
      <c r="J35" s="7">
        <f t="shared" si="5"/>
        <v>139.08930000000001</v>
      </c>
      <c r="K35" s="2" t="str">
        <f t="shared" si="6"/>
        <v/>
      </c>
      <c r="L35" s="2">
        <f t="shared" si="1"/>
        <v>308.86619999999999</v>
      </c>
      <c r="M35" s="2" t="str">
        <f t="shared" si="2"/>
        <v/>
      </c>
      <c r="N35" s="38" t="str">
        <f t="shared" si="7"/>
        <v>✔</v>
      </c>
    </row>
    <row r="36" spans="1:14" ht="95.1" customHeight="1" x14ac:dyDescent="0.25">
      <c r="A36" s="41"/>
      <c r="B36" s="42" t="s">
        <v>72</v>
      </c>
      <c r="C36" s="43" t="s">
        <v>66</v>
      </c>
      <c r="D36" s="44" t="s">
        <v>41</v>
      </c>
      <c r="E36" s="71">
        <v>129.99</v>
      </c>
      <c r="F36" s="6" t="str">
        <f t="shared" si="3"/>
        <v>QUEEN</v>
      </c>
      <c r="G36" s="83" t="str">
        <f t="shared" si="8"/>
        <v/>
      </c>
      <c r="H36" s="83">
        <f t="shared" si="8"/>
        <v>288.65999999999997</v>
      </c>
      <c r="I36" s="79" t="str">
        <f t="shared" si="8"/>
        <v/>
      </c>
      <c r="J36" s="8">
        <f t="shared" si="5"/>
        <v>139.08930000000001</v>
      </c>
      <c r="K36" s="4" t="str">
        <f t="shared" si="6"/>
        <v/>
      </c>
      <c r="L36" s="4">
        <f t="shared" si="1"/>
        <v>308.86619999999999</v>
      </c>
      <c r="M36" s="4" t="str">
        <f t="shared" si="2"/>
        <v/>
      </c>
      <c r="N36" s="39" t="str">
        <f t="shared" si="7"/>
        <v>✔</v>
      </c>
    </row>
    <row r="37" spans="1:14" ht="95.1" customHeight="1" x14ac:dyDescent="0.25">
      <c r="A37" s="41"/>
      <c r="B37" s="42" t="s">
        <v>73</v>
      </c>
      <c r="C37" s="43" t="s">
        <v>74</v>
      </c>
      <c r="D37" s="44" t="s">
        <v>29</v>
      </c>
      <c r="E37" s="71">
        <v>119.99</v>
      </c>
      <c r="F37" s="5" t="str">
        <f t="shared" si="3"/>
        <v>FULL</v>
      </c>
      <c r="G37" s="83">
        <f t="shared" si="8"/>
        <v>206.64</v>
      </c>
      <c r="H37" s="83" t="str">
        <f t="shared" si="8"/>
        <v/>
      </c>
      <c r="I37" s="78" t="str">
        <f t="shared" si="8"/>
        <v/>
      </c>
      <c r="J37" s="7">
        <f t="shared" si="5"/>
        <v>128.38929999999999</v>
      </c>
      <c r="K37" s="2">
        <f t="shared" si="6"/>
        <v>221.10480000000001</v>
      </c>
      <c r="L37" s="2" t="str">
        <f t="shared" si="1"/>
        <v/>
      </c>
      <c r="M37" s="2" t="str">
        <f t="shared" si="2"/>
        <v/>
      </c>
      <c r="N37" s="38" t="str">
        <f t="shared" si="7"/>
        <v>✔</v>
      </c>
    </row>
    <row r="38" spans="1:14" ht="95.1" customHeight="1" x14ac:dyDescent="0.25">
      <c r="A38" s="41"/>
      <c r="B38" s="42" t="s">
        <v>75</v>
      </c>
      <c r="C38" s="43" t="s">
        <v>76</v>
      </c>
      <c r="D38" s="44" t="s">
        <v>29</v>
      </c>
      <c r="E38" s="71">
        <v>119.99</v>
      </c>
      <c r="F38" s="6" t="str">
        <f t="shared" si="3"/>
        <v>FULL</v>
      </c>
      <c r="G38" s="83">
        <f t="shared" si="8"/>
        <v>206.64</v>
      </c>
      <c r="H38" s="83" t="str">
        <f t="shared" si="8"/>
        <v/>
      </c>
      <c r="I38" s="79" t="str">
        <f t="shared" si="8"/>
        <v/>
      </c>
      <c r="J38" s="8">
        <f t="shared" si="5"/>
        <v>128.38929999999999</v>
      </c>
      <c r="K38" s="4">
        <f t="shared" si="6"/>
        <v>221.10480000000001</v>
      </c>
      <c r="L38" s="4" t="str">
        <f t="shared" si="1"/>
        <v/>
      </c>
      <c r="M38" s="4" t="str">
        <f t="shared" si="2"/>
        <v/>
      </c>
      <c r="N38" s="39" t="str">
        <f t="shared" si="7"/>
        <v>✔</v>
      </c>
    </row>
    <row r="39" spans="1:14" ht="95.1" customHeight="1" x14ac:dyDescent="0.25">
      <c r="A39" s="41"/>
      <c r="B39" s="42" t="s">
        <v>77</v>
      </c>
      <c r="C39" s="43" t="s">
        <v>78</v>
      </c>
      <c r="D39" s="44" t="s">
        <v>56</v>
      </c>
      <c r="E39" s="71">
        <v>119.99</v>
      </c>
      <c r="F39" s="5" t="str">
        <f t="shared" si="3"/>
        <v>FULL</v>
      </c>
      <c r="G39" s="83">
        <f t="shared" si="8"/>
        <v>206.64</v>
      </c>
      <c r="H39" s="83" t="str">
        <f t="shared" si="8"/>
        <v/>
      </c>
      <c r="I39" s="78" t="str">
        <f t="shared" si="8"/>
        <v/>
      </c>
      <c r="J39" s="7">
        <f t="shared" si="5"/>
        <v>128.38929999999999</v>
      </c>
      <c r="K39" s="2">
        <f t="shared" si="6"/>
        <v>221.10480000000001</v>
      </c>
      <c r="L39" s="2" t="str">
        <f t="shared" si="1"/>
        <v/>
      </c>
      <c r="M39" s="2" t="str">
        <f t="shared" si="2"/>
        <v/>
      </c>
      <c r="N39" s="38" t="str">
        <f t="shared" si="7"/>
        <v>✔</v>
      </c>
    </row>
    <row r="40" spans="1:14" ht="95.1" customHeight="1" x14ac:dyDescent="0.25">
      <c r="A40" s="3"/>
      <c r="B40" s="42" t="s">
        <v>79</v>
      </c>
      <c r="C40" s="43" t="s">
        <v>80</v>
      </c>
      <c r="D40" s="44" t="s">
        <v>41</v>
      </c>
      <c r="E40" s="71">
        <v>69.989999999999995</v>
      </c>
      <c r="F40" s="6" t="str">
        <f t="shared" si="3"/>
        <v>QUEEN</v>
      </c>
      <c r="G40" s="83" t="str">
        <f t="shared" si="8"/>
        <v/>
      </c>
      <c r="H40" s="83">
        <f t="shared" si="8"/>
        <v>228.65999999999997</v>
      </c>
      <c r="I40" s="79" t="str">
        <f t="shared" si="8"/>
        <v/>
      </c>
      <c r="J40" s="8">
        <f t="shared" si="5"/>
        <v>74.889300000000006</v>
      </c>
      <c r="K40" s="4" t="str">
        <f t="shared" si="6"/>
        <v/>
      </c>
      <c r="L40" s="4">
        <f t="shared" si="1"/>
        <v>244.66619999999998</v>
      </c>
      <c r="M40" s="4" t="str">
        <f t="shared" si="2"/>
        <v/>
      </c>
      <c r="N40" s="39" t="str">
        <f t="shared" si="7"/>
        <v>✔</v>
      </c>
    </row>
    <row r="41" spans="1:14" ht="95.1" customHeight="1" x14ac:dyDescent="0.25">
      <c r="A41" s="41"/>
      <c r="B41" s="42" t="s">
        <v>81</v>
      </c>
      <c r="C41" s="43" t="s">
        <v>28</v>
      </c>
      <c r="D41" s="44" t="s">
        <v>56</v>
      </c>
      <c r="E41" s="71">
        <v>109.99</v>
      </c>
      <c r="F41" s="5" t="str">
        <f t="shared" si="3"/>
        <v>FULL</v>
      </c>
      <c r="G41" s="83">
        <f t="shared" si="8"/>
        <v>196.64</v>
      </c>
      <c r="H41" s="83" t="str">
        <f t="shared" si="8"/>
        <v/>
      </c>
      <c r="I41" s="78" t="str">
        <f t="shared" si="8"/>
        <v/>
      </c>
      <c r="J41" s="7">
        <f t="shared" si="5"/>
        <v>117.6893</v>
      </c>
      <c r="K41" s="2">
        <f t="shared" si="6"/>
        <v>210.40479999999999</v>
      </c>
      <c r="L41" s="2" t="str">
        <f t="shared" si="1"/>
        <v/>
      </c>
      <c r="M41" s="2" t="str">
        <f t="shared" si="2"/>
        <v/>
      </c>
      <c r="N41" s="38" t="str">
        <f t="shared" si="7"/>
        <v>✔</v>
      </c>
    </row>
    <row r="42" spans="1:14" ht="95.1" customHeight="1" x14ac:dyDescent="0.25">
      <c r="A42" s="90"/>
      <c r="B42" s="91" t="s">
        <v>82</v>
      </c>
      <c r="C42" s="92" t="s">
        <v>83</v>
      </c>
      <c r="D42" s="87" t="s">
        <v>38</v>
      </c>
      <c r="E42" s="72">
        <v>159.99</v>
      </c>
      <c r="F42" s="15" t="str">
        <f t="shared" si="3"/>
        <v>KING</v>
      </c>
      <c r="G42" s="84" t="str">
        <f t="shared" si="8"/>
        <v/>
      </c>
      <c r="H42" s="84" t="str">
        <f t="shared" si="8"/>
        <v/>
      </c>
      <c r="I42" s="80">
        <f t="shared" si="8"/>
        <v>369.98</v>
      </c>
      <c r="J42" s="16">
        <f t="shared" si="5"/>
        <v>171.18930000000003</v>
      </c>
      <c r="K42" s="17" t="str">
        <f t="shared" si="6"/>
        <v/>
      </c>
      <c r="L42" s="17" t="str">
        <f t="shared" si="1"/>
        <v/>
      </c>
      <c r="M42" s="17">
        <f t="shared" si="2"/>
        <v>395.87860000000006</v>
      </c>
      <c r="N42" s="40" t="str">
        <f t="shared" si="7"/>
        <v>✔</v>
      </c>
    </row>
    <row r="43" spans="1:14" ht="26.1" hidden="1" customHeight="1" thickTop="1" x14ac:dyDescent="0.25">
      <c r="A43" s="18"/>
      <c r="B43" s="18"/>
      <c r="C43" s="18"/>
      <c r="D43" s="19" t="s">
        <v>100</v>
      </c>
      <c r="E43" s="20">
        <f>SUBTOTAL(109,E5:E42)</f>
        <v>5509.6199999999944</v>
      </c>
      <c r="F43" s="21"/>
      <c r="G43" s="22">
        <f>SUBTOTAL(109,G5:G42)</f>
        <v>2243.0399999999995</v>
      </c>
      <c r="H43" s="20">
        <f>SUBTOTAL(109,H5:H42)</f>
        <v>5584.5399999999981</v>
      </c>
      <c r="I43" s="20">
        <f>SUBTOTAL(109,I5:I42)</f>
        <v>3329.84</v>
      </c>
      <c r="J43" s="23">
        <f>SUBTOTAL(109,J5:J42)</f>
        <v>5895.2933999999977</v>
      </c>
      <c r="K43" s="24">
        <f>SUBTOTAL(109,K5:K42)</f>
        <v>2400.0527999999999</v>
      </c>
      <c r="L43" s="24">
        <f>SUBTOTAL(109,L5:L42)</f>
        <v>5975.457800000001</v>
      </c>
      <c r="M43" s="24">
        <f>SUBTOTAL(109,M5:M42)</f>
        <v>3562.9288000000006</v>
      </c>
      <c r="N43" s="24"/>
    </row>
    <row r="44" spans="1:14" ht="15" hidden="1" x14ac:dyDescent="0.25">
      <c r="A44" s="25" t="s">
        <v>84</v>
      </c>
      <c r="E44"/>
      <c r="G44"/>
      <c r="H44"/>
    </row>
    <row r="45" spans="1:14" ht="15" hidden="1" x14ac:dyDescent="0.25">
      <c r="A45" s="26" t="s">
        <v>85</v>
      </c>
      <c r="E45"/>
      <c r="G45"/>
      <c r="H45"/>
    </row>
    <row r="46" spans="1:14" ht="15" hidden="1" x14ac:dyDescent="0.25">
      <c r="A46" s="26" t="s">
        <v>86</v>
      </c>
      <c r="E46"/>
      <c r="G46"/>
      <c r="H46"/>
    </row>
    <row r="47" spans="1:14" ht="15" hidden="1" x14ac:dyDescent="0.25">
      <c r="A47" s="26" t="s">
        <v>87</v>
      </c>
      <c r="E47"/>
      <c r="G47"/>
      <c r="H47"/>
    </row>
    <row r="48" spans="1:14" ht="21" x14ac:dyDescent="0.35">
      <c r="G48" s="81"/>
      <c r="H48" s="81"/>
      <c r="I48" s="81"/>
    </row>
  </sheetData>
  <autoFilter ref="A4:N47" xr:uid="{00000000-0001-0000-0000-000000000000}">
    <filterColumn colId="13">
      <filters>
        <filter val="✔"/>
      </filters>
    </filterColumn>
  </autoFilter>
  <mergeCells count="7">
    <mergeCell ref="A1:N1"/>
    <mergeCell ref="A2:N2"/>
    <mergeCell ref="G3:I3"/>
    <mergeCell ref="J3:M3"/>
    <mergeCell ref="P3:R3"/>
    <mergeCell ref="B3:C3"/>
    <mergeCell ref="D3:F3"/>
  </mergeCells>
  <conditionalFormatting sqref="A5:M42">
    <cfRule type="expression" dxfId="0" priority="4">
      <formula>AND(TRIM($B$3)&lt;&gt;"",$N5="✔")</formula>
    </cfRule>
  </conditionalFormatting>
  <conditionalFormatting sqref="G5:H42">
    <cfRule type="colorScale" priority="3">
      <colorScale>
        <cfvo type="min"/>
        <cfvo type="max"/>
        <color rgb="FFFFEF9C"/>
        <color rgb="FF63BE7B"/>
      </colorScale>
    </cfRule>
  </conditionalFormatting>
  <conditionalFormatting sqref="E5:E42">
    <cfRule type="colorScale" priority="2">
      <colorScale>
        <cfvo type="min"/>
        <cfvo type="max"/>
        <color rgb="FF63BE7B"/>
        <color rgb="FFFFEF9C"/>
      </colorScale>
    </cfRule>
  </conditionalFormatting>
  <conditionalFormatting sqref="F4:F4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5" right="0.75" top="1" bottom="1" header="0.5" footer="0.5"/>
  <pageSetup fitToHeight="0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Catálogo LTSC-07</vt:lpstr>
      <vt:lpstr>'Catálogo LTSC-07'!Títulos_a_imprimir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Joel Carvajal Mahecha</cp:lastModifiedBy>
  <dcterms:created xsi:type="dcterms:W3CDTF">2026-09-28T17:57:14Z</dcterms:created>
  <dcterms:modified xsi:type="dcterms:W3CDTF">2026-10-02T03:16:24Z</dcterms:modified>
</cp:coreProperties>
</file>